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PURCHASE" sheetId="1" r:id="rId1"/>
    <sheet name="STOCK" sheetId="2" r:id="rId2"/>
    <sheet name="HAMMALI" sheetId="3" r:id="rId3"/>
    <sheet name="BILL" sheetId="4" r:id="rId4"/>
    <sheet name="GUNNY BAGS" sheetId="5" r:id="rId5"/>
    <sheet name="CASH" sheetId="6" r:id="rId6"/>
    <sheet name="Sheet1" sheetId="7" r:id="rId7"/>
    <sheet name="Home cash" sheetId="8" r:id="rId8"/>
    <sheet name="COMPANY" sheetId="9" r:id="rId9"/>
    <sheet name="BILLTY" sheetId="10" r:id="rId10"/>
    <sheet name="MANJU MASUR" sheetId="11" r:id="rId11"/>
    <sheet name="Sheet2" sheetId="12" r:id="rId12"/>
    <sheet name="APP_PURCHASE" sheetId="13" r:id="rId13"/>
  </sheets>
  <definedNames>
    <definedName name="_xlnm._FilterDatabase" localSheetId="3" hidden="1">BILL!$A$10:$O$59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7"/>
  <sheetViews>
    <sheetView workbookViewId="0" rightToLeft="0"/>
  </sheetViews>
  <sheetData>
    <row r="1">
      <c r="A1" t="str">
        <v>Octobar 2025</v>
      </c>
    </row>
    <row r="2">
      <c r="A2" t="str">
        <v xml:space="preserve">      </v>
      </c>
      <c r="C2" t="str">
        <v>STOCK Weight</v>
      </c>
      <c r="D2">
        <f>G674-BILL!F93</f>
        <v>645393</v>
      </c>
      <c r="I2">
        <f>I3*58</f>
        <v>407276</v>
      </c>
    </row>
    <row r="3">
      <c r="C3" t="str">
        <v xml:space="preserve"> STOCK Bag</v>
      </c>
      <c r="D3">
        <f>F674+BILLTY!E49+'MANJU MASUR'!D30-BILL!E93</f>
        <v>18921</v>
      </c>
      <c r="I3">
        <v>7022</v>
      </c>
    </row>
    <row r="6">
      <c r="A6" t="str">
        <v>SL NO</v>
      </c>
      <c r="B6" t="str">
        <v>DATE</v>
      </c>
      <c r="C6" t="str">
        <v>NAME</v>
      </c>
      <c r="D6" t="str">
        <v>PLACE</v>
      </c>
      <c r="E6" t="str">
        <v>MOB</v>
      </c>
      <c r="F6" t="str">
        <v>BAGS</v>
      </c>
      <c r="G6" t="str">
        <v>WEIGHT</v>
      </c>
      <c r="H6" t="str">
        <v>LESS</v>
      </c>
      <c r="I6" t="str">
        <v xml:space="preserve">NET WEIGHT </v>
      </c>
      <c r="J6" t="str">
        <v xml:space="preserve">RATE </v>
      </c>
      <c r="K6" t="str">
        <v>AMOUNT</v>
      </c>
      <c r="L6" t="str">
        <v>LESS</v>
      </c>
      <c r="M6" t="str">
        <v xml:space="preserve">ADD </v>
      </c>
      <c r="N6" t="str">
        <v>CASH</v>
      </c>
      <c r="O6" t="str">
        <v>PHONE PAY</v>
      </c>
      <c r="P6" t="str">
        <v>TOTAL AMOUNT</v>
      </c>
      <c r="Q6" t="str">
        <v>MODE</v>
      </c>
      <c r="R6" t="str">
        <v>BAG AVG</v>
      </c>
    </row>
    <row r="8">
      <c r="G8">
        <v>1</v>
      </c>
    </row>
    <row r="9">
      <c r="A9">
        <v>1</v>
      </c>
      <c r="B9">
        <v>45757</v>
      </c>
      <c r="C9" t="str">
        <v>Maheshwarappa</v>
      </c>
      <c r="D9" t="str">
        <v>Belemaluru</v>
      </c>
      <c r="E9">
        <v>9008947174</v>
      </c>
      <c r="F9">
        <v>42</v>
      </c>
      <c r="G9">
        <v>2440</v>
      </c>
      <c r="H9">
        <f>G9*3/100</f>
        <v>73.2</v>
      </c>
      <c r="I9">
        <f>G9-H9</f>
        <v>2366.8</v>
      </c>
      <c r="J9">
        <v>20.5</v>
      </c>
      <c r="K9">
        <f>I9*J9</f>
        <v>48519.4</v>
      </c>
      <c r="L9">
        <v>210</v>
      </c>
      <c r="M9">
        <v>0</v>
      </c>
      <c r="N9">
        <v>0</v>
      </c>
      <c r="O9">
        <v>0</v>
      </c>
      <c r="P9">
        <f>K9-L9+M9-N9-O9</f>
        <v>48309.4</v>
      </c>
      <c r="Q9" t="str">
        <v>RTGS</v>
      </c>
      <c r="R9">
        <f>G9/F9</f>
        <v>58.095238095238095</v>
      </c>
    </row>
    <row r="10">
      <c r="A10">
        <v>2</v>
      </c>
      <c r="B10">
        <v>45940</v>
      </c>
      <c r="C10" t="str">
        <v>MAHESH</v>
      </c>
      <c r="D10" t="str">
        <v>KAMALAPURA</v>
      </c>
      <c r="E10">
        <v>9901369439</v>
      </c>
      <c r="F10">
        <v>114</v>
      </c>
      <c r="G10">
        <v>6510</v>
      </c>
      <c r="H10">
        <f>G10*3/100</f>
        <v>195.3</v>
      </c>
      <c r="I10">
        <f>G10-H10</f>
        <v>6314.7</v>
      </c>
      <c r="J10">
        <v>19.8</v>
      </c>
      <c r="K10">
        <f>I10*J10</f>
        <v>125031.06</v>
      </c>
      <c r="P10">
        <f>K10-L10+M10-N10-O10</f>
        <v>125031.06</v>
      </c>
      <c r="Q10" t="str">
        <v>CASH</v>
      </c>
      <c r="R10">
        <f>G10/F10</f>
        <v>57.10526315789474</v>
      </c>
    </row>
    <row r="11">
      <c r="A11">
        <v>3</v>
      </c>
      <c r="B11">
        <v>45971</v>
      </c>
      <c r="C11" t="str">
        <v>SUCHITRA</v>
      </c>
      <c r="D11" t="str">
        <v>DODDABATHI</v>
      </c>
      <c r="E11">
        <v>0</v>
      </c>
      <c r="F11">
        <v>91</v>
      </c>
      <c r="G11">
        <v>5200</v>
      </c>
      <c r="H11">
        <v>104</v>
      </c>
      <c r="I11">
        <f>G11-H11</f>
        <v>5096</v>
      </c>
      <c r="J11">
        <v>20</v>
      </c>
      <c r="K11">
        <f>I11*J11</f>
        <v>101920</v>
      </c>
      <c r="L11">
        <v>910</v>
      </c>
      <c r="M11">
        <v>100</v>
      </c>
      <c r="P11">
        <f>K11-L11+M11-N11-O11</f>
        <v>101110</v>
      </c>
      <c r="Q11" t="str">
        <v>RTGS</v>
      </c>
      <c r="R11">
        <f>G11/F11</f>
        <v>57.142857142857146</v>
      </c>
    </row>
    <row r="12">
      <c r="A12">
        <v>4</v>
      </c>
      <c r="B12">
        <v>46001</v>
      </c>
      <c r="C12" t="str">
        <v>MANJAPPA</v>
      </c>
      <c r="D12" t="str">
        <v>BALEMALLUR</v>
      </c>
      <c r="E12">
        <v>9019091754</v>
      </c>
      <c r="F12">
        <v>23</v>
      </c>
      <c r="G12">
        <v>1160</v>
      </c>
      <c r="H12">
        <f>G12*3/100</f>
        <v>34.8</v>
      </c>
      <c r="I12">
        <f>G12-H12</f>
        <v>1125.2</v>
      </c>
      <c r="J12">
        <v>20.3</v>
      </c>
      <c r="K12">
        <f>I12*J12</f>
        <v>22841.56</v>
      </c>
      <c r="L12">
        <f>F12*5</f>
        <v>115</v>
      </c>
      <c r="P12">
        <f>K12-L12+M12-N12-O12</f>
        <v>22726.56</v>
      </c>
      <c r="Q12" t="str">
        <v>CASH</v>
      </c>
      <c r="R12">
        <f>G12/F12</f>
        <v>50.43478260869565</v>
      </c>
    </row>
    <row r="13">
      <c r="A13">
        <v>5</v>
      </c>
      <c r="B13">
        <v>46001</v>
      </c>
      <c r="C13" t="str">
        <v>SAMPATH</v>
      </c>
      <c r="D13" t="str">
        <v>HONNALI</v>
      </c>
      <c r="E13">
        <v>9900835216</v>
      </c>
      <c r="F13">
        <v>73</v>
      </c>
      <c r="G13">
        <v>4020</v>
      </c>
      <c r="H13">
        <f>G13*3/100</f>
        <v>120.6</v>
      </c>
      <c r="I13">
        <f>G13-H13</f>
        <v>3899.4</v>
      </c>
      <c r="J13">
        <v>20.6</v>
      </c>
      <c r="K13">
        <f>I13*J13</f>
        <v>80327.64000000001</v>
      </c>
      <c r="L13">
        <f>F13*5</f>
        <v>365</v>
      </c>
      <c r="P13">
        <f>K13-L13+M13-N13-O13</f>
        <v>79962.64000000001</v>
      </c>
      <c r="Q13" t="str">
        <v>RTGS</v>
      </c>
      <c r="R13">
        <f>G13/F13</f>
        <v>55.06849315068493</v>
      </c>
    </row>
    <row r="14">
      <c r="A14">
        <v>6</v>
      </c>
      <c r="B14">
        <v>46001</v>
      </c>
      <c r="C14" t="str">
        <v>NAGAPPA</v>
      </c>
      <c r="D14" t="str">
        <v>BALEMALLUR</v>
      </c>
      <c r="E14">
        <v>9164353902</v>
      </c>
      <c r="F14">
        <v>9</v>
      </c>
      <c r="G14">
        <v>500</v>
      </c>
      <c r="H14">
        <f>G14*3/100</f>
        <v>15</v>
      </c>
      <c r="I14">
        <f>G14-H14</f>
        <v>485</v>
      </c>
      <c r="J14">
        <v>19.7</v>
      </c>
      <c r="K14">
        <f>I14*J14</f>
        <v>9554.5</v>
      </c>
      <c r="L14">
        <f>F14*5</f>
        <v>45</v>
      </c>
      <c r="M14">
        <v>500</v>
      </c>
      <c r="P14">
        <f>K14-L14+M14-N14-O14</f>
        <v>10009.5</v>
      </c>
      <c r="R14">
        <f>G14/F14</f>
        <v>55.55555555555556</v>
      </c>
    </row>
    <row r="15">
      <c r="A15">
        <v>7</v>
      </c>
      <c r="B15">
        <v>46001</v>
      </c>
      <c r="C15" t="str">
        <v>MALDEAPPA</v>
      </c>
      <c r="D15" t="str">
        <v>BELAMALLUR</v>
      </c>
      <c r="E15">
        <v>7411508298</v>
      </c>
      <c r="F15">
        <v>37</v>
      </c>
      <c r="G15">
        <v>2020</v>
      </c>
      <c r="H15">
        <f>G15*3/100</f>
        <v>60.6</v>
      </c>
      <c r="I15">
        <f>G15-H15</f>
        <v>1959.4</v>
      </c>
      <c r="J15">
        <v>20.5</v>
      </c>
      <c r="K15">
        <f>I15*J15</f>
        <v>40167.700000000004</v>
      </c>
      <c r="L15">
        <f>F15*5</f>
        <v>185</v>
      </c>
      <c r="M15">
        <v>500</v>
      </c>
      <c r="P15">
        <f>K15-L15+M15-N15-O15</f>
        <v>40482.700000000004</v>
      </c>
      <c r="R15">
        <f>G15/F15</f>
        <v>54.5945945945946</v>
      </c>
    </row>
    <row r="16">
      <c r="A16">
        <v>8</v>
      </c>
      <c r="B16">
        <v>46001</v>
      </c>
      <c r="C16" t="str">
        <v>BASAVARAJ</v>
      </c>
      <c r="D16" t="str">
        <v>BELAMALLUR</v>
      </c>
      <c r="E16">
        <v>8970424017</v>
      </c>
      <c r="F16">
        <v>40</v>
      </c>
      <c r="G16">
        <v>2350</v>
      </c>
      <c r="H16">
        <f>G16*3/100</f>
        <v>70.5</v>
      </c>
      <c r="I16">
        <f>G16-H16</f>
        <v>2279.5</v>
      </c>
      <c r="J16">
        <v>20.6</v>
      </c>
      <c r="K16">
        <f>I16*J16</f>
        <v>46957.700000000004</v>
      </c>
      <c r="L16">
        <f>F16*5</f>
        <v>200</v>
      </c>
      <c r="P16">
        <f>K16-L16+M16-N16-O16</f>
        <v>46757.700000000004</v>
      </c>
      <c r="Q16" t="str">
        <v>RTGS</v>
      </c>
      <c r="R16">
        <f>G16/F16</f>
        <v>58.75</v>
      </c>
    </row>
    <row r="17">
      <c r="A17">
        <v>9</v>
      </c>
      <c r="B17">
        <v>46001</v>
      </c>
      <c r="C17" t="str">
        <v>RAVI</v>
      </c>
      <c r="D17" t="str">
        <v>BELAMALLUR</v>
      </c>
      <c r="E17">
        <v>9591206247</v>
      </c>
      <c r="F17">
        <v>37</v>
      </c>
      <c r="G17">
        <v>2230</v>
      </c>
      <c r="H17">
        <f>G17*3/100</f>
        <v>66.9</v>
      </c>
      <c r="I17">
        <f>G17-H17</f>
        <v>2163.1</v>
      </c>
      <c r="J17">
        <v>20.7</v>
      </c>
      <c r="K17">
        <f>I17*J17</f>
        <v>44776.17</v>
      </c>
      <c r="L17">
        <f>F17*5</f>
        <v>185</v>
      </c>
      <c r="P17">
        <f>K17-L17+M17-N17-O17</f>
        <v>44591.17</v>
      </c>
      <c r="Q17" t="str">
        <v>CASH</v>
      </c>
      <c r="R17">
        <f>G17/F17</f>
        <v>60.270270270270274</v>
      </c>
    </row>
    <row r="18">
      <c r="A18">
        <v>10</v>
      </c>
      <c r="B18">
        <v>46001</v>
      </c>
      <c r="C18" t="str">
        <v>LOKESH HR</v>
      </c>
      <c r="D18" t="str">
        <v>HOLEHALLI</v>
      </c>
      <c r="E18">
        <v>9036311435</v>
      </c>
      <c r="F18">
        <v>16</v>
      </c>
      <c r="G18">
        <v>920</v>
      </c>
      <c r="H18">
        <f>G18*3/100</f>
        <v>27.6</v>
      </c>
      <c r="I18">
        <f>G18-H18</f>
        <v>892.4</v>
      </c>
      <c r="J18">
        <v>20.5</v>
      </c>
      <c r="K18">
        <f>I18*J18</f>
        <v>18294.2</v>
      </c>
      <c r="L18">
        <f>F18*5</f>
        <v>80</v>
      </c>
      <c r="P18">
        <f>K18-L18+M18-N18-O18</f>
        <v>18214.2</v>
      </c>
      <c r="Q18" t="str">
        <v>CASH</v>
      </c>
      <c r="R18">
        <f>G18/F18</f>
        <v>57.5</v>
      </c>
    </row>
    <row r="19">
      <c r="A19">
        <v>11</v>
      </c>
      <c r="B19">
        <v>46001</v>
      </c>
      <c r="C19" t="str">
        <v>DAYAMMA</v>
      </c>
      <c r="D19" t="str">
        <v>HANUMANSAGARA</v>
      </c>
      <c r="E19">
        <v>7349355791</v>
      </c>
      <c r="F19">
        <v>20</v>
      </c>
      <c r="G19">
        <v>1130</v>
      </c>
      <c r="H19">
        <f>G19*3/100</f>
        <v>33.9</v>
      </c>
      <c r="I19">
        <f>G19-H19</f>
        <v>1096.1</v>
      </c>
      <c r="J19">
        <v>20.5</v>
      </c>
      <c r="K19">
        <f>I19*J19</f>
        <v>22470.05</v>
      </c>
      <c r="L19">
        <v>600</v>
      </c>
      <c r="P19">
        <f>K19-L19+M19-N19-O19</f>
        <v>21870.05</v>
      </c>
      <c r="Q19" t="str">
        <v>CASH</v>
      </c>
      <c r="R19">
        <f>G19/F19</f>
        <v>56.5</v>
      </c>
    </row>
    <row r="20">
      <c r="A20">
        <v>12</v>
      </c>
      <c r="B20" t="str">
        <v>13/10/2025</v>
      </c>
      <c r="C20" t="str">
        <v>MANJU</v>
      </c>
      <c r="D20" t="str">
        <v>HAMMALI , Blmur</v>
      </c>
      <c r="F20">
        <v>81</v>
      </c>
      <c r="G20">
        <v>4630</v>
      </c>
      <c r="H20">
        <f>G20*3/100</f>
        <v>138.9</v>
      </c>
      <c r="I20">
        <f>G20-H20</f>
        <v>4491.1</v>
      </c>
      <c r="J20">
        <v>20.8</v>
      </c>
      <c r="K20">
        <f>I20*J20</f>
        <v>93414.88</v>
      </c>
      <c r="L20">
        <f>F20*5</f>
        <v>405</v>
      </c>
      <c r="P20">
        <f>K20-L20+M20-N20-O20</f>
        <v>93009.88</v>
      </c>
      <c r="Q20" t="str">
        <v>RTGS</v>
      </c>
      <c r="R20">
        <f>G20/F20</f>
        <v>57.160493827160494</v>
      </c>
    </row>
    <row r="21">
      <c r="A21">
        <v>13</v>
      </c>
      <c r="B21" t="str">
        <v>13/10/2025</v>
      </c>
      <c r="C21" t="str">
        <v>Rudraiaa</v>
      </c>
      <c r="D21" t="str">
        <v>Holeharhalli</v>
      </c>
      <c r="E21">
        <v>7022862408</v>
      </c>
      <c r="F21">
        <v>101</v>
      </c>
      <c r="G21">
        <v>5650</v>
      </c>
      <c r="H21">
        <f>G21*3/100</f>
        <v>169.5</v>
      </c>
      <c r="I21">
        <f>G21-H21</f>
        <v>5480.5</v>
      </c>
      <c r="J21">
        <v>20.7</v>
      </c>
      <c r="K21">
        <f>I21*J21</f>
        <v>113446.34999999999</v>
      </c>
      <c r="L21">
        <f>F21*5</f>
        <v>505</v>
      </c>
      <c r="P21">
        <f>K21-L21+M21-N21-O21</f>
        <v>112941.34999999999</v>
      </c>
      <c r="Q21" t="str">
        <v>RTGS</v>
      </c>
      <c r="R21">
        <f>G21/F21</f>
        <v>55.94059405940594</v>
      </c>
    </row>
    <row r="22">
      <c r="A22">
        <v>14</v>
      </c>
      <c r="B22" t="str">
        <v>13/10/2025</v>
      </c>
      <c r="C22" t="str">
        <v>BOGRAJA</v>
      </c>
      <c r="D22" t="str">
        <v>HOLEHARAHALLI</v>
      </c>
      <c r="E22">
        <v>8277624727</v>
      </c>
      <c r="F22">
        <v>127</v>
      </c>
      <c r="G22">
        <v>7090</v>
      </c>
      <c r="H22">
        <f>G22*3/100</f>
        <v>212.7</v>
      </c>
      <c r="I22">
        <f>G22-H22</f>
        <v>6877.3</v>
      </c>
      <c r="J22">
        <v>20.7</v>
      </c>
      <c r="K22">
        <f>I22*J22</f>
        <v>142360.11</v>
      </c>
      <c r="L22">
        <f>F22*5</f>
        <v>635</v>
      </c>
      <c r="P22">
        <f>K22-L22+M22-N22-O22</f>
        <v>141725.11</v>
      </c>
      <c r="Q22" t="str">
        <v>RTGS</v>
      </c>
      <c r="R22">
        <f>G22/F22</f>
        <v>55.826771653543304</v>
      </c>
    </row>
    <row r="23">
      <c r="A23">
        <v>15</v>
      </c>
      <c r="B23" t="str">
        <v>13/10/2025</v>
      </c>
      <c r="C23" t="str">
        <v>BENKESH</v>
      </c>
      <c r="D23" t="str">
        <v>BALEMALLUR</v>
      </c>
      <c r="E23">
        <v>8618829988</v>
      </c>
      <c r="F23">
        <v>21</v>
      </c>
      <c r="G23">
        <v>1170</v>
      </c>
      <c r="H23">
        <f>G23*3/100</f>
        <v>35.1</v>
      </c>
      <c r="I23">
        <f>G23-H23</f>
        <v>1134.9</v>
      </c>
      <c r="J23">
        <v>20.5</v>
      </c>
      <c r="K23">
        <f>I23*J23</f>
        <v>23265.45</v>
      </c>
      <c r="L23">
        <f>F23*5</f>
        <v>105</v>
      </c>
      <c r="P23">
        <f>K23-L23+M23-N23-O23</f>
        <v>23160.45</v>
      </c>
      <c r="Q23" t="str">
        <v>RTGS</v>
      </c>
      <c r="R23">
        <f>G23/F23</f>
        <v>55.714285714285715</v>
      </c>
    </row>
    <row r="24">
      <c r="A24">
        <v>16</v>
      </c>
      <c r="B24" t="str">
        <v>13/10/2025</v>
      </c>
      <c r="C24" t="str">
        <v>Rajjappa</v>
      </c>
      <c r="D24" t="str">
        <v>BALEMALLUR</v>
      </c>
      <c r="E24">
        <v>6362523107</v>
      </c>
      <c r="F24">
        <v>52</v>
      </c>
      <c r="G24">
        <v>2910</v>
      </c>
      <c r="H24">
        <f>G24*3/100</f>
        <v>87.3</v>
      </c>
      <c r="I24">
        <f>G24-H24</f>
        <v>2822.7</v>
      </c>
      <c r="J24">
        <v>20.4</v>
      </c>
      <c r="K24">
        <f>I24*J24</f>
        <v>57583.079999999994</v>
      </c>
      <c r="L24">
        <f>F24*5</f>
        <v>260</v>
      </c>
      <c r="M24">
        <v>100</v>
      </c>
      <c r="P24">
        <f>K24-L24+M24-N24-O24</f>
        <v>57423.079999999994</v>
      </c>
      <c r="Q24" t="str">
        <v>RTGS</v>
      </c>
      <c r="R24">
        <f>G24/F24</f>
        <v>55.96153846153846</v>
      </c>
    </row>
    <row r="25">
      <c r="A25">
        <v>17</v>
      </c>
      <c r="B25" t="str">
        <v>13/10/2025</v>
      </c>
      <c r="C25" t="str">
        <v>SURESH</v>
      </c>
      <c r="D25" t="str">
        <v>BELAMALURU</v>
      </c>
      <c r="E25">
        <v>6364608438</v>
      </c>
      <c r="F25">
        <v>71</v>
      </c>
      <c r="G25">
        <v>3980</v>
      </c>
      <c r="H25">
        <f>G25*3/100</f>
        <v>119.4</v>
      </c>
      <c r="I25">
        <f>G25-H25</f>
        <v>3860.6</v>
      </c>
      <c r="J25">
        <v>20.5</v>
      </c>
      <c r="K25">
        <f>I25*J25</f>
        <v>79142.3</v>
      </c>
      <c r="L25">
        <f>F25*5</f>
        <v>355</v>
      </c>
      <c r="M25">
        <v>500</v>
      </c>
      <c r="P25">
        <f>K25-L25+M25-N25-O25</f>
        <v>79287.3</v>
      </c>
      <c r="Q25" t="str">
        <v>RTGS</v>
      </c>
      <c r="R25">
        <f>G25/F25</f>
        <v>56.056338028169016</v>
      </c>
    </row>
    <row r="26">
      <c r="A26">
        <v>18</v>
      </c>
      <c r="B26" t="str">
        <v>13/10/2025</v>
      </c>
      <c r="C26" t="str">
        <v>UMESH</v>
      </c>
      <c r="D26" t="str">
        <v>BELAMALURU</v>
      </c>
      <c r="E26">
        <v>9900892156</v>
      </c>
      <c r="F26">
        <v>25</v>
      </c>
      <c r="G26">
        <v>1420</v>
      </c>
      <c r="H26">
        <f>G26*3/100</f>
        <v>42.6</v>
      </c>
      <c r="I26">
        <f>G26-H26</f>
        <v>1377.4</v>
      </c>
      <c r="J26">
        <v>20.5</v>
      </c>
      <c r="K26">
        <f>I26*J26</f>
        <v>28236.7</v>
      </c>
      <c r="L26">
        <f>F26*5</f>
        <v>125</v>
      </c>
      <c r="M26">
        <v>500</v>
      </c>
      <c r="P26">
        <f>K26-L26+M26-N26-O26</f>
        <v>28611.7</v>
      </c>
      <c r="Q26" t="str">
        <v>RTGS</v>
      </c>
      <c r="R26">
        <f>G26/F26</f>
        <v>56.8</v>
      </c>
    </row>
    <row r="27">
      <c r="A27">
        <v>19</v>
      </c>
      <c r="B27" t="str">
        <v>14/10/2025</v>
      </c>
      <c r="C27" t="str">
        <v>ANANDAPPA</v>
      </c>
      <c r="D27" t="str">
        <v>BELAMALURU</v>
      </c>
      <c r="F27">
        <v>17</v>
      </c>
      <c r="G27">
        <v>970</v>
      </c>
      <c r="H27">
        <f>G27*3/100</f>
        <v>29.1</v>
      </c>
      <c r="I27">
        <f>G27-H27</f>
        <v>940.9</v>
      </c>
      <c r="J27">
        <v>20.5</v>
      </c>
      <c r="K27">
        <f>I27*J27</f>
        <v>19288.45</v>
      </c>
      <c r="L27">
        <f>F27*5</f>
        <v>85</v>
      </c>
      <c r="P27">
        <f>K27-L27+M27-N27-O27</f>
        <v>19203.45</v>
      </c>
      <c r="Q27" t="str">
        <v>RTGS</v>
      </c>
      <c r="R27">
        <f>G27/F27</f>
        <v>57.05882352941177</v>
      </c>
    </row>
    <row r="28">
      <c r="A28">
        <v>20</v>
      </c>
      <c r="B28" t="str">
        <v>15/10/2025</v>
      </c>
      <c r="C28" t="str">
        <v>Thirtanna</v>
      </c>
      <c r="D28" t="str">
        <v>Arbagate</v>
      </c>
      <c r="E28">
        <v>7676285615</v>
      </c>
      <c r="F28">
        <v>220</v>
      </c>
      <c r="G28">
        <v>12510</v>
      </c>
      <c r="H28">
        <f>G28*3/100</f>
        <v>375.3</v>
      </c>
      <c r="I28">
        <f>G28-H28</f>
        <v>12134.7</v>
      </c>
      <c r="J28">
        <v>20.6</v>
      </c>
      <c r="K28">
        <f>I28*J28</f>
        <v>249974.82000000004</v>
      </c>
      <c r="L28">
        <f>F28*5</f>
        <v>1100</v>
      </c>
      <c r="P28">
        <f>K28-L28+M28-N28-O28</f>
        <v>248874.82000000004</v>
      </c>
      <c r="R28">
        <f>G28/F28</f>
        <v>56.86363636363637</v>
      </c>
    </row>
    <row r="29">
      <c r="A29">
        <v>21</v>
      </c>
      <c r="B29" t="str">
        <v>15/10/2025</v>
      </c>
      <c r="C29" t="str">
        <v>Gopal</v>
      </c>
      <c r="D29" t="str">
        <v>Konayakhalli</v>
      </c>
      <c r="E29">
        <v>6362670063</v>
      </c>
      <c r="F29">
        <v>18</v>
      </c>
      <c r="G29">
        <v>938</v>
      </c>
      <c r="H29">
        <f>G29*3/100</f>
        <v>28.14</v>
      </c>
      <c r="I29">
        <f>G29-H29</f>
        <v>909.86</v>
      </c>
      <c r="J29">
        <v>17.3</v>
      </c>
      <c r="K29">
        <f>I29*J29</f>
        <v>15740.578000000001</v>
      </c>
      <c r="L29">
        <f>F29*5</f>
        <v>90</v>
      </c>
      <c r="P29">
        <f>K29-L29+M29-N29-O29</f>
        <v>15650.578000000001</v>
      </c>
      <c r="R29">
        <f>G29/F29</f>
        <v>52.111111111111114</v>
      </c>
    </row>
    <row r="30">
      <c r="A30">
        <v>22</v>
      </c>
      <c r="B30" t="str">
        <v>16/10/2025</v>
      </c>
      <c r="C30" t="str">
        <v>MALTHESH</v>
      </c>
      <c r="D30" t="str">
        <v>BELAMALUR</v>
      </c>
      <c r="E30">
        <v>9741561975</v>
      </c>
      <c r="F30">
        <v>51</v>
      </c>
      <c r="G30">
        <v>2900</v>
      </c>
      <c r="H30">
        <f>G30*3/100</f>
        <v>87</v>
      </c>
      <c r="I30">
        <f>G30-H30</f>
        <v>2813</v>
      </c>
      <c r="J30">
        <v>20.1</v>
      </c>
      <c r="K30">
        <f>I30*J30</f>
        <v>56541.3</v>
      </c>
      <c r="L30">
        <f>F30*5</f>
        <v>255</v>
      </c>
      <c r="P30">
        <f>K30-L30+M30-N30-O30</f>
        <v>56286.3</v>
      </c>
      <c r="R30">
        <f>G30/F30</f>
        <v>56.86274509803921</v>
      </c>
    </row>
    <row r="31">
      <c r="A31">
        <v>23</v>
      </c>
      <c r="B31" t="str">
        <v>16/10/2025</v>
      </c>
      <c r="C31" t="str">
        <v>Nagaraj</v>
      </c>
      <c r="D31" t="str">
        <v>Golarahalli</v>
      </c>
      <c r="E31">
        <v>8970672493</v>
      </c>
      <c r="F31">
        <v>90</v>
      </c>
      <c r="G31">
        <v>4990</v>
      </c>
      <c r="H31">
        <f>G31*3/100</f>
        <v>149.7</v>
      </c>
      <c r="I31">
        <f>G31-H31</f>
        <v>4840.3</v>
      </c>
      <c r="J31">
        <v>20.2</v>
      </c>
      <c r="K31">
        <f>I31*J31</f>
        <v>97774.06</v>
      </c>
      <c r="L31">
        <f>F31*5</f>
        <v>450</v>
      </c>
      <c r="P31">
        <f>K31-L31+M31-N31-O31</f>
        <v>97324.06</v>
      </c>
      <c r="R31">
        <f>G31/F31</f>
        <v>55.44444444444444</v>
      </c>
    </row>
    <row r="32">
      <c r="A32">
        <v>24</v>
      </c>
      <c r="B32" t="str">
        <v>16/10/2025</v>
      </c>
      <c r="C32" t="str">
        <v>Nandish</v>
      </c>
      <c r="D32" t="str">
        <v>Holeharhalli</v>
      </c>
      <c r="E32">
        <v>9481016199</v>
      </c>
      <c r="F32">
        <v>42</v>
      </c>
      <c r="G32">
        <v>2460</v>
      </c>
      <c r="H32">
        <f>G32*3/100</f>
        <v>73.8</v>
      </c>
      <c r="I32">
        <f>G32-H32</f>
        <v>2386.2</v>
      </c>
      <c r="J32">
        <v>20.5</v>
      </c>
      <c r="K32">
        <f>I32*J32</f>
        <v>48917.1</v>
      </c>
      <c r="L32">
        <f>F32*5</f>
        <v>210</v>
      </c>
      <c r="M32">
        <v>500</v>
      </c>
      <c r="P32">
        <f>K32-L32+M32-N32-O32</f>
        <v>49207.1</v>
      </c>
      <c r="R32">
        <f>G32/F32</f>
        <v>58.57142857142857</v>
      </c>
    </row>
    <row r="33">
      <c r="A33">
        <v>25</v>
      </c>
      <c r="B33" t="str">
        <v>16/10/2025</v>
      </c>
      <c r="C33" t="str">
        <v>Anjaneya</v>
      </c>
      <c r="D33" t="str">
        <v>BELAMALUR</v>
      </c>
      <c r="E33">
        <v>9148761357</v>
      </c>
      <c r="F33">
        <v>25</v>
      </c>
      <c r="G33">
        <v>1430</v>
      </c>
      <c r="H33">
        <f>G33*3/100</f>
        <v>42.9</v>
      </c>
      <c r="I33">
        <f>G33-H33</f>
        <v>1387.1</v>
      </c>
      <c r="J33">
        <v>20</v>
      </c>
      <c r="K33">
        <f>I33*J33</f>
        <v>27742</v>
      </c>
      <c r="L33">
        <f>F33*5</f>
        <v>125</v>
      </c>
      <c r="M33">
        <v>100</v>
      </c>
      <c r="P33">
        <f>K33-L33+M33-N33-O33</f>
        <v>27717</v>
      </c>
      <c r="R33">
        <f>G33/F33</f>
        <v>57.2</v>
      </c>
    </row>
    <row r="34">
      <c r="A34">
        <v>26</v>
      </c>
      <c r="B34" t="str">
        <v>16/10/2025</v>
      </c>
      <c r="C34" t="str">
        <v>Manjappa</v>
      </c>
      <c r="D34" t="str">
        <v>BELAMALUR</v>
      </c>
      <c r="E34">
        <v>9900832490</v>
      </c>
      <c r="F34">
        <v>21</v>
      </c>
      <c r="G34">
        <v>880</v>
      </c>
      <c r="H34">
        <f>G34*3/100</f>
        <v>26.4</v>
      </c>
      <c r="I34">
        <f>G34-H34</f>
        <v>853.6</v>
      </c>
      <c r="J34">
        <v>20</v>
      </c>
      <c r="K34">
        <f>I34*J34</f>
        <v>17072</v>
      </c>
      <c r="L34">
        <f>F34*5</f>
        <v>105</v>
      </c>
      <c r="M34">
        <v>1000</v>
      </c>
      <c r="P34">
        <f>K34-L34+M34-N34-O34</f>
        <v>17967</v>
      </c>
      <c r="R34">
        <f>G34/F34</f>
        <v>41.904761904761905</v>
      </c>
    </row>
    <row r="35">
      <c r="A35">
        <v>27</v>
      </c>
      <c r="B35" t="str">
        <v>16/10/2025</v>
      </c>
      <c r="C35" t="str">
        <v>Gadigesh</v>
      </c>
      <c r="D35" t="str">
        <v>BELAMALUR</v>
      </c>
      <c r="E35">
        <v>9900832490</v>
      </c>
      <c r="F35">
        <v>44</v>
      </c>
      <c r="G35">
        <v>2560</v>
      </c>
      <c r="H35">
        <f>G35*3/100</f>
        <v>76.8</v>
      </c>
      <c r="I35">
        <f>G35-H35</f>
        <v>2483.2</v>
      </c>
      <c r="J35">
        <v>20</v>
      </c>
      <c r="K35">
        <f>I35*J35</f>
        <v>49664</v>
      </c>
      <c r="L35">
        <f>F35*5</f>
        <v>220</v>
      </c>
      <c r="M35">
        <v>500</v>
      </c>
      <c r="P35">
        <f>K35-L35+M35-N35-O35</f>
        <v>49944</v>
      </c>
      <c r="R35">
        <f>G35/F35</f>
        <v>58.18181818181818</v>
      </c>
    </row>
    <row r="36">
      <c r="A36">
        <v>28</v>
      </c>
      <c r="B36" t="str">
        <v>16/10/2025</v>
      </c>
      <c r="C36" t="str">
        <v>Ravi</v>
      </c>
      <c r="D36" t="str">
        <v>BELAMALUR</v>
      </c>
      <c r="E36">
        <v>9972758400</v>
      </c>
      <c r="F36">
        <v>35</v>
      </c>
      <c r="G36">
        <v>2060</v>
      </c>
      <c r="H36">
        <f>G36*3/100</f>
        <v>61.8</v>
      </c>
      <c r="I36">
        <f>G36-H36</f>
        <v>1998.2</v>
      </c>
      <c r="J36">
        <v>20.1</v>
      </c>
      <c r="K36">
        <f>I36*J36</f>
        <v>40163.82000000001</v>
      </c>
      <c r="L36">
        <f>F36*5</f>
        <v>175</v>
      </c>
      <c r="M36">
        <v>200</v>
      </c>
      <c r="P36">
        <f>K36-L36+M36-N36-O36</f>
        <v>40188.82000000001</v>
      </c>
      <c r="R36">
        <f>G36/F36</f>
        <v>58.857142857142854</v>
      </c>
    </row>
    <row r="37">
      <c r="A37">
        <v>29</v>
      </c>
      <c r="B37" t="str">
        <v>16/10/2025</v>
      </c>
      <c r="C37" t="str">
        <v>Chanesh</v>
      </c>
      <c r="D37" t="str">
        <v>Honnali</v>
      </c>
      <c r="E37">
        <v>9538807840</v>
      </c>
      <c r="F37">
        <v>57</v>
      </c>
      <c r="G37">
        <v>3190</v>
      </c>
      <c r="H37">
        <f>G37*3/100</f>
        <v>95.7</v>
      </c>
      <c r="I37">
        <f>G37-H37</f>
        <v>3094.3</v>
      </c>
      <c r="J37">
        <v>20.2</v>
      </c>
      <c r="K37">
        <f>I37*J37</f>
        <v>62504.86</v>
      </c>
      <c r="L37">
        <f>F37*5</f>
        <v>285</v>
      </c>
      <c r="P37">
        <f>K37-L37+M37-N37-O37</f>
        <v>62219.86</v>
      </c>
      <c r="R37">
        <f>G37/F37</f>
        <v>55.96491228070175</v>
      </c>
    </row>
    <row r="38">
      <c r="A38">
        <v>30</v>
      </c>
      <c r="B38" t="str">
        <v>17/10/2025</v>
      </c>
      <c r="C38" t="str">
        <v>Chandarappa</v>
      </c>
      <c r="D38" t="str">
        <v>Belemaluru</v>
      </c>
      <c r="E38">
        <v>9113568026</v>
      </c>
      <c r="F38">
        <v>30</v>
      </c>
      <c r="G38">
        <v>1600</v>
      </c>
      <c r="H38">
        <f>G38*3/100</f>
        <v>48</v>
      </c>
      <c r="I38">
        <f>G38-H38</f>
        <v>1552</v>
      </c>
      <c r="J38">
        <v>20.1</v>
      </c>
      <c r="K38">
        <f>I38*J38</f>
        <v>31195.2</v>
      </c>
      <c r="L38">
        <f>F38*5</f>
        <v>150</v>
      </c>
      <c r="P38">
        <f>K38-L38+M38-N38-O38</f>
        <v>31045.2</v>
      </c>
      <c r="R38">
        <f>G38/F38</f>
        <v>53.333333333333336</v>
      </c>
    </row>
    <row r="39">
      <c r="A39">
        <v>31</v>
      </c>
      <c r="B39" t="str">
        <v>17/10/2025</v>
      </c>
      <c r="C39" t="str">
        <v>Nigappa</v>
      </c>
      <c r="D39" t="str">
        <v>Belemaluru</v>
      </c>
      <c r="E39">
        <v>9113568026</v>
      </c>
      <c r="F39">
        <v>20</v>
      </c>
      <c r="G39">
        <v>1130</v>
      </c>
      <c r="H39">
        <f>G39*3/100</f>
        <v>33.9</v>
      </c>
      <c r="I39">
        <f>G39-H39</f>
        <v>1096.1</v>
      </c>
      <c r="J39">
        <v>20.1</v>
      </c>
      <c r="K39">
        <f>I39*J39</f>
        <v>22031.61</v>
      </c>
      <c r="L39">
        <f>F39*5</f>
        <v>100</v>
      </c>
      <c r="P39">
        <f>K39-L39+M39-N39-O39</f>
        <v>21931.61</v>
      </c>
      <c r="R39">
        <f>G39/F39</f>
        <v>56.5</v>
      </c>
    </row>
    <row r="40">
      <c r="A40">
        <v>32</v>
      </c>
      <c r="B40" t="str">
        <v>17/10/2025</v>
      </c>
      <c r="C40" t="str">
        <v>Manteshappa</v>
      </c>
      <c r="D40" t="str">
        <v>Belemaluru</v>
      </c>
      <c r="E40">
        <v>9740351181</v>
      </c>
      <c r="F40">
        <v>30</v>
      </c>
      <c r="G40">
        <v>1730</v>
      </c>
      <c r="H40">
        <f>G40*3/100</f>
        <v>51.9</v>
      </c>
      <c r="I40">
        <f>G40-H40</f>
        <v>1678.1</v>
      </c>
      <c r="J40">
        <v>20.1</v>
      </c>
      <c r="K40">
        <f>I40*J40</f>
        <v>33729.81</v>
      </c>
      <c r="L40">
        <f>F40*5</f>
        <v>150</v>
      </c>
      <c r="P40">
        <f>K40-L40+M40-N40-O40</f>
        <v>33579.81</v>
      </c>
      <c r="R40">
        <f>G40/F40</f>
        <v>57.666666666666664</v>
      </c>
    </row>
    <row r="41">
      <c r="A41">
        <v>33</v>
      </c>
      <c r="B41" t="str">
        <v>17/10/2025</v>
      </c>
      <c r="C41" t="str">
        <v>Nilappa</v>
      </c>
      <c r="D41" t="str">
        <v>Honnali</v>
      </c>
      <c r="E41">
        <v>7349128695</v>
      </c>
      <c r="F41">
        <v>36</v>
      </c>
      <c r="G41">
        <v>2030</v>
      </c>
      <c r="H41">
        <f>G41*3/100</f>
        <v>60.9</v>
      </c>
      <c r="I41">
        <f>G41-H41</f>
        <v>1969.1</v>
      </c>
      <c r="J41">
        <v>20.2</v>
      </c>
      <c r="K41">
        <f>I41*J41</f>
        <v>39775.82</v>
      </c>
      <c r="L41">
        <f>F41*5</f>
        <v>180</v>
      </c>
      <c r="P41">
        <f>K41-L41+M41-N41-O41</f>
        <v>39595.82</v>
      </c>
      <c r="Q41" t="str">
        <v>CASH PAID</v>
      </c>
      <c r="R41">
        <f>G41/F41</f>
        <v>56.388888888888886</v>
      </c>
    </row>
    <row r="42">
      <c r="A42">
        <v>34</v>
      </c>
      <c r="B42" t="str">
        <v>17/10/2025</v>
      </c>
      <c r="C42" t="str">
        <v>Thirtanna</v>
      </c>
      <c r="D42" t="str">
        <v>Arbagate</v>
      </c>
      <c r="E42">
        <v>7676285615</v>
      </c>
      <c r="F42">
        <v>77</v>
      </c>
      <c r="G42">
        <v>4330</v>
      </c>
      <c r="H42">
        <v>87</v>
      </c>
      <c r="I42">
        <f>G42-H42</f>
        <v>4243</v>
      </c>
      <c r="J42">
        <v>20.5</v>
      </c>
      <c r="K42">
        <f>I42*J42</f>
        <v>86981.5</v>
      </c>
      <c r="L42">
        <v>0</v>
      </c>
      <c r="P42">
        <f>K42-L42+M42-N42-O42</f>
        <v>86981.5</v>
      </c>
      <c r="R42">
        <f>G42/F42</f>
        <v>56.23376623376623</v>
      </c>
    </row>
    <row r="43">
      <c r="A43">
        <v>35</v>
      </c>
      <c r="B43" t="str">
        <v>17/10/2025</v>
      </c>
      <c r="C43" t="str">
        <v>Khalil</v>
      </c>
      <c r="D43" t="str">
        <v>Belemaluru</v>
      </c>
      <c r="E43">
        <v>9741831004</v>
      </c>
      <c r="F43">
        <v>54</v>
      </c>
      <c r="G43">
        <v>2950</v>
      </c>
      <c r="H43">
        <f>G43*3/100</f>
        <v>88.5</v>
      </c>
      <c r="I43">
        <f>G43-H43</f>
        <v>2861.5</v>
      </c>
      <c r="J43">
        <v>20.1</v>
      </c>
      <c r="K43">
        <f>I43*J43</f>
        <v>57516.15</v>
      </c>
      <c r="L43">
        <f>F43*5</f>
        <v>270</v>
      </c>
      <c r="P43">
        <f>K43-L43+M43-N43-O43</f>
        <v>57246.15</v>
      </c>
      <c r="R43">
        <f>G43/F43</f>
        <v>54.629629629629626</v>
      </c>
    </row>
    <row r="44">
      <c r="A44">
        <v>36</v>
      </c>
      <c r="B44" t="str">
        <v>17/10/2025</v>
      </c>
      <c r="C44" t="str">
        <v>Prakash</v>
      </c>
      <c r="D44" t="str">
        <v>Digdgur</v>
      </c>
      <c r="E44">
        <v>9986691253</v>
      </c>
      <c r="F44">
        <v>45</v>
      </c>
      <c r="G44">
        <v>2490</v>
      </c>
      <c r="H44">
        <f>G44*3/100</f>
        <v>74.7</v>
      </c>
      <c r="I44">
        <f>G44-H44</f>
        <v>2415.3</v>
      </c>
      <c r="J44">
        <v>20.2</v>
      </c>
      <c r="K44">
        <f>I44*J44</f>
        <v>48789.060000000005</v>
      </c>
      <c r="L44">
        <f>F44*5</f>
        <v>225</v>
      </c>
      <c r="P44">
        <f>K44-L44+M44-N44-O44</f>
        <v>48564.060000000005</v>
      </c>
      <c r="R44">
        <f>G44/F44</f>
        <v>55.333333333333336</v>
      </c>
    </row>
    <row r="45">
      <c r="A45">
        <v>37</v>
      </c>
      <c r="B45" t="str">
        <v>18/10/2025</v>
      </c>
      <c r="C45" t="str">
        <v>PRASAD</v>
      </c>
      <c r="D45" t="str">
        <v>BELAMALLUR</v>
      </c>
      <c r="E45">
        <v>8884247976</v>
      </c>
      <c r="F45">
        <v>44</v>
      </c>
      <c r="G45">
        <v>2610</v>
      </c>
      <c r="H45">
        <f>G45*3/100</f>
        <v>78.3</v>
      </c>
      <c r="I45">
        <f>G45-H45</f>
        <v>2531.7</v>
      </c>
      <c r="J45">
        <v>20</v>
      </c>
      <c r="K45">
        <f>I45*J45</f>
        <v>50634</v>
      </c>
      <c r="L45">
        <f>F45*5</f>
        <v>220</v>
      </c>
      <c r="P45">
        <f>K45-L45+M45-N45-O45</f>
        <v>50414</v>
      </c>
      <c r="R45">
        <f>G45/F45</f>
        <v>59.31818181818182</v>
      </c>
    </row>
    <row r="46">
      <c r="A46">
        <v>38</v>
      </c>
      <c r="B46" t="str">
        <v>18/10/2025</v>
      </c>
      <c r="C46" t="str">
        <v>ANNAPPA</v>
      </c>
      <c r="D46" t="str">
        <v>BELAMALLUR</v>
      </c>
      <c r="E46">
        <v>7760473167</v>
      </c>
      <c r="F46">
        <v>25</v>
      </c>
      <c r="G46">
        <v>1320</v>
      </c>
      <c r="H46">
        <f>G46*3/100</f>
        <v>39.6</v>
      </c>
      <c r="I46">
        <f>G46-H46</f>
        <v>1280.4</v>
      </c>
      <c r="J46">
        <v>20</v>
      </c>
      <c r="K46">
        <f>I46*J46</f>
        <v>25608</v>
      </c>
      <c r="L46">
        <f>F46*5</f>
        <v>125</v>
      </c>
      <c r="P46">
        <f>K46-L46+M46-N46-O46</f>
        <v>25483</v>
      </c>
      <c r="R46">
        <f>G46/F46</f>
        <v>52.8</v>
      </c>
    </row>
    <row r="47">
      <c r="A47">
        <v>39</v>
      </c>
      <c r="B47" t="str">
        <v>18/10/2025</v>
      </c>
      <c r="C47" t="str">
        <v>KOTESH</v>
      </c>
      <c r="D47" t="str">
        <v>BELAMALLUR</v>
      </c>
      <c r="E47">
        <v>9606879496</v>
      </c>
      <c r="F47">
        <v>10</v>
      </c>
      <c r="G47">
        <v>500</v>
      </c>
      <c r="H47">
        <f>G47*3/100</f>
        <v>15</v>
      </c>
      <c r="I47">
        <f>G47-H47</f>
        <v>485</v>
      </c>
      <c r="J47">
        <v>20</v>
      </c>
      <c r="K47">
        <f>I47*J47</f>
        <v>9700</v>
      </c>
      <c r="L47">
        <f>F47*5</f>
        <v>50</v>
      </c>
      <c r="P47">
        <f>K47-L47+M47-N47-O47</f>
        <v>9650</v>
      </c>
      <c r="R47">
        <f>G47/F47</f>
        <v>50</v>
      </c>
    </row>
    <row r="48">
      <c r="A48">
        <v>40</v>
      </c>
      <c r="B48" t="str">
        <v>18/10/2025</v>
      </c>
      <c r="C48" t="str">
        <v>DURGAPPA</v>
      </c>
      <c r="D48" t="str">
        <v>BELAMALLUR</v>
      </c>
      <c r="E48">
        <v>6363727822</v>
      </c>
      <c r="F48">
        <v>39</v>
      </c>
      <c r="G48">
        <v>2070</v>
      </c>
      <c r="H48">
        <f>G48*3/100</f>
        <v>62.1</v>
      </c>
      <c r="I48">
        <f>G48-H48</f>
        <v>2007.9</v>
      </c>
      <c r="J48">
        <v>20</v>
      </c>
      <c r="K48">
        <f>I48*J48</f>
        <v>40158</v>
      </c>
      <c r="L48">
        <f>F48*5</f>
        <v>195</v>
      </c>
      <c r="P48">
        <f>K48-L48+M48-N48-O48</f>
        <v>39963</v>
      </c>
      <c r="R48">
        <f>G48/F48</f>
        <v>53.07692307692308</v>
      </c>
    </row>
    <row r="49">
      <c r="A49">
        <v>41</v>
      </c>
      <c r="B49" t="str">
        <v>18/10/2025</v>
      </c>
      <c r="C49" t="str">
        <v>MANJUTHA T</v>
      </c>
      <c r="D49" t="str">
        <v>BELAMALLUR</v>
      </c>
      <c r="E49">
        <v>7676016319</v>
      </c>
      <c r="F49">
        <v>15</v>
      </c>
      <c r="G49">
        <v>870</v>
      </c>
      <c r="H49">
        <f>G49*3/100</f>
        <v>26.1</v>
      </c>
      <c r="I49">
        <f>G49-H49</f>
        <v>843.9</v>
      </c>
      <c r="J49">
        <v>20</v>
      </c>
      <c r="K49">
        <f>I49*J49</f>
        <v>16878</v>
      </c>
      <c r="L49">
        <f>F49*5</f>
        <v>75</v>
      </c>
      <c r="P49">
        <f>K49-L49+M49-N49-O49</f>
        <v>16803</v>
      </c>
      <c r="R49">
        <f>G49/F49</f>
        <v>58</v>
      </c>
    </row>
    <row r="50">
      <c r="A50">
        <v>42</v>
      </c>
      <c r="B50" t="str">
        <v>18/10/2025</v>
      </c>
      <c r="C50" t="str">
        <v>KARIBASAPPA</v>
      </c>
      <c r="D50" t="str">
        <v>BELAMALLUR</v>
      </c>
      <c r="E50">
        <v>7676016319</v>
      </c>
      <c r="F50">
        <v>28</v>
      </c>
      <c r="G50">
        <v>1590</v>
      </c>
      <c r="H50">
        <f>G50*3/100</f>
        <v>47.7</v>
      </c>
      <c r="I50">
        <f>G50-H50</f>
        <v>1542.3</v>
      </c>
      <c r="J50">
        <v>20</v>
      </c>
      <c r="K50">
        <f>I50*J50</f>
        <v>30846</v>
      </c>
      <c r="L50">
        <f>F50*5</f>
        <v>140</v>
      </c>
      <c r="M50">
        <v>500</v>
      </c>
      <c r="P50">
        <f>K50-L50+M50-N50-O50</f>
        <v>31206</v>
      </c>
      <c r="R50">
        <f>G50/F50</f>
        <v>56.785714285714285</v>
      </c>
    </row>
    <row r="51">
      <c r="A51">
        <v>43</v>
      </c>
      <c r="B51" t="str">
        <v>18/10/2025</v>
      </c>
      <c r="C51" t="str">
        <v>SHANMUKANNA</v>
      </c>
      <c r="D51" t="str">
        <v>MADABHAVI</v>
      </c>
      <c r="E51">
        <v>9035957145</v>
      </c>
      <c r="F51">
        <v>110</v>
      </c>
      <c r="G51">
        <v>6230</v>
      </c>
      <c r="H51">
        <f>G51*3/100</f>
        <v>186.9</v>
      </c>
      <c r="I51">
        <f>G51-H51</f>
        <v>6043.1</v>
      </c>
      <c r="J51">
        <v>20</v>
      </c>
      <c r="K51">
        <f>I51*J51</f>
        <v>120862</v>
      </c>
      <c r="L51">
        <f>F51*5</f>
        <v>550</v>
      </c>
      <c r="M51">
        <v>25</v>
      </c>
      <c r="P51">
        <f>K51-L51+M51-N51-O51</f>
        <v>120337</v>
      </c>
      <c r="R51">
        <f>G51/F51</f>
        <v>56.63636363636363</v>
      </c>
    </row>
    <row r="52">
      <c r="A52">
        <v>44</v>
      </c>
      <c r="B52" t="str">
        <v>18/10/2025</v>
      </c>
      <c r="C52" t="str">
        <v>RAJAPPA</v>
      </c>
      <c r="D52" t="str">
        <v>BELAMALLUR</v>
      </c>
      <c r="E52">
        <v>8105067496</v>
      </c>
      <c r="F52">
        <v>29</v>
      </c>
      <c r="G52">
        <v>1670</v>
      </c>
      <c r="H52">
        <f>G52*3/100</f>
        <v>50.1</v>
      </c>
      <c r="I52">
        <f>G52-H52</f>
        <v>1619.9</v>
      </c>
      <c r="J52">
        <v>20</v>
      </c>
      <c r="K52">
        <f>I52*J52</f>
        <v>32398</v>
      </c>
      <c r="L52">
        <f>F52*5</f>
        <v>145</v>
      </c>
      <c r="M52">
        <v>25</v>
      </c>
      <c r="P52">
        <f>K52-L52+M52-N52-O52</f>
        <v>32278</v>
      </c>
      <c r="R52">
        <f>G52/F52</f>
        <v>57.58620689655172</v>
      </c>
    </row>
    <row r="53">
      <c r="A53">
        <v>45</v>
      </c>
      <c r="B53" t="str">
        <v>18/10/2025</v>
      </c>
      <c r="C53" t="str">
        <v>RAVI GUDAPPA</v>
      </c>
      <c r="D53" t="str">
        <v>CHIKKAKABAR</v>
      </c>
      <c r="E53">
        <v>7760319148</v>
      </c>
      <c r="F53">
        <v>34</v>
      </c>
      <c r="G53">
        <v>1930</v>
      </c>
      <c r="H53">
        <f>G53*3/100</f>
        <v>57.9</v>
      </c>
      <c r="I53">
        <f>G53-H53</f>
        <v>1872.1</v>
      </c>
      <c r="J53">
        <v>18.5</v>
      </c>
      <c r="K53">
        <f>I53*J53</f>
        <v>34633.85</v>
      </c>
      <c r="L53">
        <f>F53*5</f>
        <v>170</v>
      </c>
      <c r="P53">
        <f>K53-L53+M53-N53-O53</f>
        <v>34463.85</v>
      </c>
      <c r="R53">
        <f>G53/F53</f>
        <v>56.76470588235294</v>
      </c>
    </row>
    <row r="54">
      <c r="A54">
        <v>46</v>
      </c>
      <c r="B54" t="str">
        <v>19/10/2025</v>
      </c>
      <c r="C54" t="str">
        <v>Sheela HB</v>
      </c>
      <c r="D54" t="str">
        <v>Harhalli</v>
      </c>
      <c r="E54">
        <v>8748877675</v>
      </c>
      <c r="F54">
        <v>39</v>
      </c>
      <c r="G54">
        <v>2130</v>
      </c>
      <c r="H54">
        <f>G54*3/100</f>
        <v>63.9</v>
      </c>
      <c r="I54">
        <f>G54-H54</f>
        <v>2066.1</v>
      </c>
      <c r="J54">
        <v>20.2</v>
      </c>
      <c r="K54">
        <f>I54*J54</f>
        <v>41735.219999999994</v>
      </c>
      <c r="L54">
        <f>F54*5</f>
        <v>195</v>
      </c>
      <c r="P54">
        <f>K54-L54+M54-N54-O54</f>
        <v>41540.219999999994</v>
      </c>
      <c r="R54">
        <f>G54/F54</f>
        <v>54.61538461538461</v>
      </c>
    </row>
    <row r="55">
      <c r="A55">
        <v>47</v>
      </c>
      <c r="B55" t="str">
        <v>20/10/2025</v>
      </c>
      <c r="C55" t="str">
        <v>Ramesh</v>
      </c>
      <c r="D55" t="str">
        <v>Belemaluru</v>
      </c>
      <c r="E55">
        <v>7348856309</v>
      </c>
      <c r="F55">
        <v>18</v>
      </c>
      <c r="G55">
        <v>1040</v>
      </c>
      <c r="H55">
        <f>G55*3/100</f>
        <v>31.2</v>
      </c>
      <c r="I55">
        <f>G55-H55</f>
        <v>1008.8</v>
      </c>
      <c r="J55">
        <v>19.8</v>
      </c>
      <c r="K55">
        <f>I55*J55</f>
        <v>19974.24</v>
      </c>
      <c r="L55">
        <f>F55*5</f>
        <v>90</v>
      </c>
      <c r="P55">
        <f>K55-L55+M55-N55-O55</f>
        <v>19884.24</v>
      </c>
      <c r="R55">
        <f>G55/F55</f>
        <v>57.77777777777778</v>
      </c>
    </row>
    <row r="56">
      <c r="A56">
        <v>48</v>
      </c>
      <c r="B56" t="str">
        <v>21/10/2025</v>
      </c>
      <c r="C56" t="str">
        <v>SRINIVASA</v>
      </c>
      <c r="D56" t="str">
        <v>AARGANHALLI</v>
      </c>
      <c r="E56">
        <v>7975201710</v>
      </c>
      <c r="F56">
        <v>143</v>
      </c>
      <c r="G56">
        <v>8360</v>
      </c>
      <c r="H56">
        <f>G56*3/100</f>
        <v>250.8</v>
      </c>
      <c r="I56">
        <f>G56-H56</f>
        <v>8109.2</v>
      </c>
      <c r="J56">
        <v>20.4</v>
      </c>
      <c r="K56">
        <f>I56*J56</f>
        <v>165427.68</v>
      </c>
      <c r="L56">
        <f>F56*5</f>
        <v>715</v>
      </c>
      <c r="P56">
        <f>K56-L56+M56-N56-O56</f>
        <v>164712.68</v>
      </c>
      <c r="R56">
        <f>G56/F56</f>
        <v>58.46153846153846</v>
      </c>
    </row>
    <row r="57">
      <c r="A57">
        <v>49</v>
      </c>
      <c r="B57" t="str">
        <v>21/10/2025</v>
      </c>
      <c r="C57" t="str">
        <v>NAVEEN</v>
      </c>
      <c r="D57" t="str">
        <v>BALEMALLUR</v>
      </c>
      <c r="E57">
        <v>9353542554</v>
      </c>
      <c r="F57">
        <v>13</v>
      </c>
      <c r="G57">
        <v>730</v>
      </c>
      <c r="H57">
        <f>G57*3/100</f>
        <v>21.9</v>
      </c>
      <c r="I57">
        <f>G57-H57</f>
        <v>708.1</v>
      </c>
      <c r="J57">
        <v>19.6</v>
      </c>
      <c r="K57">
        <f>I57*J57</f>
        <v>13878.760000000002</v>
      </c>
      <c r="L57">
        <f>F57*5</f>
        <v>65</v>
      </c>
      <c r="P57">
        <f>K57-L57+M57-N57-O57</f>
        <v>13813.760000000002</v>
      </c>
      <c r="R57">
        <f>G57/F57</f>
        <v>56.15384615384615</v>
      </c>
    </row>
    <row r="58">
      <c r="A58">
        <v>50</v>
      </c>
      <c r="B58" t="str">
        <v>21/10/2025</v>
      </c>
      <c r="C58" t="str">
        <v>NARAYANNA</v>
      </c>
      <c r="D58" t="str">
        <v>SORTURU</v>
      </c>
      <c r="E58">
        <v>8660645496</v>
      </c>
      <c r="F58">
        <v>100</v>
      </c>
      <c r="G58">
        <v>5544</v>
      </c>
      <c r="H58">
        <f>G58*3/100</f>
        <v>166.32</v>
      </c>
      <c r="I58">
        <f>G58-H58</f>
        <v>5377.68</v>
      </c>
      <c r="J58">
        <v>20</v>
      </c>
      <c r="K58">
        <f>I58*J58</f>
        <v>107553.6</v>
      </c>
      <c r="L58">
        <f>F58*5</f>
        <v>500</v>
      </c>
      <c r="P58">
        <f>K58-L58+M58-N58-O58</f>
        <v>107053.6</v>
      </c>
      <c r="R58">
        <f>G58/F58</f>
        <v>55.44</v>
      </c>
    </row>
    <row r="59">
      <c r="A59">
        <v>51</v>
      </c>
      <c r="B59" t="str">
        <v>21/10/2025</v>
      </c>
      <c r="C59" t="str">
        <v>MANJU</v>
      </c>
      <c r="D59" t="str">
        <v>HONNALI</v>
      </c>
      <c r="E59">
        <v>9880469408</v>
      </c>
      <c r="F59">
        <v>85</v>
      </c>
      <c r="G59">
        <v>4860</v>
      </c>
      <c r="H59">
        <f>G59*3/100</f>
        <v>145.8</v>
      </c>
      <c r="I59">
        <f>G59-H59</f>
        <v>4714.2</v>
      </c>
      <c r="J59">
        <v>19.9</v>
      </c>
      <c r="K59">
        <f>I59*J59</f>
        <v>93812.57999999999</v>
      </c>
      <c r="L59">
        <f>F59*5</f>
        <v>425</v>
      </c>
      <c r="M59">
        <v>50</v>
      </c>
      <c r="P59">
        <f>K59-L59+M59-N59-O59</f>
        <v>93437.57999999999</v>
      </c>
      <c r="R59">
        <f>G59/F59</f>
        <v>57.1764705882353</v>
      </c>
    </row>
    <row r="60">
      <c r="A60">
        <v>52</v>
      </c>
      <c r="B60" t="str">
        <v>24/10/2025</v>
      </c>
      <c r="C60" t="str">
        <v>Santos</v>
      </c>
      <c r="D60" t="str">
        <v>HONNALI</v>
      </c>
      <c r="E60">
        <v>7338693172</v>
      </c>
      <c r="F60">
        <v>105</v>
      </c>
      <c r="G60">
        <v>6100</v>
      </c>
      <c r="H60">
        <v>31</v>
      </c>
      <c r="I60">
        <f>G60-H60</f>
        <v>6069</v>
      </c>
      <c r="J60">
        <v>18.8</v>
      </c>
      <c r="K60">
        <f>I60*J60</f>
        <v>114097.2</v>
      </c>
      <c r="L60">
        <v>630</v>
      </c>
      <c r="P60">
        <f>K60-L60+M60-N60-O60</f>
        <v>113467.2</v>
      </c>
      <c r="R60">
        <f>G60/F60</f>
        <v>58.095238095238095</v>
      </c>
    </row>
    <row r="61">
      <c r="A61">
        <v>53</v>
      </c>
      <c r="B61" t="str">
        <v>25/10/2025</v>
      </c>
      <c r="C61" t="str">
        <v>Manjappa</v>
      </c>
      <c r="D61" t="str">
        <v>Belemaluru</v>
      </c>
      <c r="E61">
        <v>6363304561</v>
      </c>
      <c r="F61">
        <v>53</v>
      </c>
      <c r="G61">
        <v>2970</v>
      </c>
      <c r="H61">
        <f>G61*3/100</f>
        <v>89.1</v>
      </c>
      <c r="I61">
        <f>G61-H61</f>
        <v>2880.9</v>
      </c>
      <c r="J61">
        <v>20.1</v>
      </c>
      <c r="K61">
        <f>I61*J61</f>
        <v>57906.090000000004</v>
      </c>
      <c r="L61">
        <f>F61*5</f>
        <v>265</v>
      </c>
      <c r="P61">
        <f>K61-L61+M61-N61-O61</f>
        <v>57641.090000000004</v>
      </c>
      <c r="R61">
        <f>G61/F61</f>
        <v>56.0377358490566</v>
      </c>
    </row>
    <row r="62">
      <c r="A62">
        <v>54</v>
      </c>
      <c r="B62" t="str">
        <v>25/10/2025</v>
      </c>
      <c r="C62" t="str">
        <v>Hasan Sab</v>
      </c>
      <c r="D62" t="str">
        <v>Holeharhalli</v>
      </c>
      <c r="E62">
        <v>9901340496</v>
      </c>
      <c r="F62">
        <v>97</v>
      </c>
      <c r="G62">
        <v>5850</v>
      </c>
      <c r="H62">
        <f>G62*3/100</f>
        <v>175.5</v>
      </c>
      <c r="I62">
        <f>G62-H62</f>
        <v>5674.5</v>
      </c>
      <c r="J62">
        <v>19.5</v>
      </c>
      <c r="K62">
        <f>I62*J62</f>
        <v>110652.75</v>
      </c>
      <c r="L62">
        <f>F62*5</f>
        <v>485</v>
      </c>
      <c r="P62">
        <f>K62-L62+M62-N62-O62</f>
        <v>110167.75</v>
      </c>
      <c r="R62">
        <f>G62/F62</f>
        <v>60.30927835051546</v>
      </c>
    </row>
    <row r="63">
      <c r="A63">
        <v>55</v>
      </c>
      <c r="B63" t="str">
        <v>25/10/2025</v>
      </c>
      <c r="C63" t="str">
        <v>Surush</v>
      </c>
      <c r="D63" t="str">
        <v>Belemaluru</v>
      </c>
      <c r="E63">
        <v>81058909</v>
      </c>
      <c r="F63">
        <v>47</v>
      </c>
      <c r="G63">
        <v>2780</v>
      </c>
      <c r="H63">
        <f>G63*3/100</f>
        <v>83.4</v>
      </c>
      <c r="I63">
        <f>G63-H63</f>
        <v>2696.6</v>
      </c>
      <c r="J63">
        <v>19.5</v>
      </c>
      <c r="K63">
        <f>I63*J63</f>
        <v>52583.7</v>
      </c>
      <c r="L63">
        <f>F63*5</f>
        <v>235</v>
      </c>
      <c r="P63">
        <f>K63-L63+M63-N63-O63</f>
        <v>52348.7</v>
      </c>
      <c r="R63">
        <f>G63/F63</f>
        <v>59.148936170212764</v>
      </c>
    </row>
    <row r="64">
      <c r="A64">
        <v>56</v>
      </c>
      <c r="B64" t="str">
        <v>25/10/2025</v>
      </c>
      <c r="C64" t="str">
        <v>Vasanthanna</v>
      </c>
      <c r="D64" t="str">
        <v>HONNALI</v>
      </c>
      <c r="E64">
        <v>9886227970</v>
      </c>
      <c r="F64">
        <v>65</v>
      </c>
      <c r="G64">
        <v>3749</v>
      </c>
      <c r="H64">
        <f>G64*3/100</f>
        <v>112.47</v>
      </c>
      <c r="I64">
        <f>G64-H64</f>
        <v>3636.53</v>
      </c>
      <c r="J64">
        <v>20.2</v>
      </c>
      <c r="K64">
        <f>I64*J64</f>
        <v>73457.906</v>
      </c>
      <c r="L64">
        <f>F64*5</f>
        <v>325</v>
      </c>
      <c r="P64">
        <f>K64-L64+M64-N64-O64</f>
        <v>73132.906</v>
      </c>
      <c r="R64">
        <f>G64/F64</f>
        <v>57.676923076923075</v>
      </c>
    </row>
    <row r="65">
      <c r="A65">
        <v>57</v>
      </c>
      <c r="B65" t="str">
        <v>25/10/2025</v>
      </c>
      <c r="C65" t="str">
        <v>Anjeneya</v>
      </c>
      <c r="D65" t="str">
        <v>Belemaluru</v>
      </c>
      <c r="E65">
        <v>8884247976</v>
      </c>
      <c r="F65">
        <v>47</v>
      </c>
      <c r="G65">
        <v>2660</v>
      </c>
      <c r="H65">
        <f>G65*3/100</f>
        <v>79.8</v>
      </c>
      <c r="I65">
        <f>G65-H65</f>
        <v>2580.2</v>
      </c>
      <c r="J65">
        <v>19.5</v>
      </c>
      <c r="K65">
        <f>I65*J65</f>
        <v>50313.899999999994</v>
      </c>
      <c r="L65">
        <f>F65*5</f>
        <v>235</v>
      </c>
      <c r="P65">
        <f>K65-L65+M65-N65-O65</f>
        <v>50078.899999999994</v>
      </c>
      <c r="R65">
        <f>G65/F65</f>
        <v>56.59574468085106</v>
      </c>
    </row>
    <row r="66">
      <c r="A66">
        <v>58</v>
      </c>
      <c r="B66" t="str">
        <v>25/10/2025</v>
      </c>
      <c r="C66" t="str">
        <v>RAJAPPA</v>
      </c>
      <c r="D66" t="str">
        <v>Belemaluru</v>
      </c>
      <c r="E66">
        <v>9148492931</v>
      </c>
      <c r="F66">
        <v>8</v>
      </c>
      <c r="G66">
        <v>430</v>
      </c>
      <c r="H66">
        <f>G66*3/100</f>
        <v>12.9</v>
      </c>
      <c r="I66">
        <f>G66-H66</f>
        <v>417.1</v>
      </c>
      <c r="J66">
        <v>19.1</v>
      </c>
      <c r="K66">
        <f>I66*J66</f>
        <v>7966.610000000001</v>
      </c>
      <c r="L66">
        <f>F66*5</f>
        <v>40</v>
      </c>
      <c r="P66">
        <f>K66-L66+M66-N66-O66</f>
        <v>7926.610000000001</v>
      </c>
      <c r="R66">
        <f>G66/F66</f>
        <v>53.75</v>
      </c>
    </row>
    <row r="67">
      <c r="A67">
        <v>59</v>
      </c>
      <c r="B67" t="str">
        <v>25/10/2025</v>
      </c>
      <c r="C67" t="str">
        <v>Ravi</v>
      </c>
      <c r="D67" t="str">
        <v>Balmuri</v>
      </c>
      <c r="E67">
        <v>8050966992</v>
      </c>
      <c r="F67">
        <v>59</v>
      </c>
      <c r="G67">
        <v>3460</v>
      </c>
      <c r="H67">
        <f>G67*3/100</f>
        <v>103.8</v>
      </c>
      <c r="I67">
        <f>G67-H67</f>
        <v>3356.2</v>
      </c>
      <c r="J67">
        <v>19.5</v>
      </c>
      <c r="K67">
        <f>I67*J67</f>
        <v>65445.899999999994</v>
      </c>
      <c r="L67">
        <f>F67*5</f>
        <v>295</v>
      </c>
      <c r="P67">
        <f>K67-L67+M67-N67-O67</f>
        <v>65150.899999999994</v>
      </c>
      <c r="R67">
        <f>G67/F67</f>
        <v>58.644067796610166</v>
      </c>
    </row>
    <row r="68">
      <c r="A68">
        <v>60</v>
      </c>
      <c r="B68" t="str">
        <v>25/10/2025</v>
      </c>
      <c r="C68" t="str">
        <v>Narasimappa</v>
      </c>
      <c r="D68" t="str">
        <v>HOLEHARAHALLI</v>
      </c>
      <c r="E68">
        <v>9481016195</v>
      </c>
      <c r="F68">
        <v>55</v>
      </c>
      <c r="G68">
        <v>3130</v>
      </c>
      <c r="H68">
        <f>G68*3/100</f>
        <v>93.9</v>
      </c>
      <c r="I68">
        <f>G68-H68</f>
        <v>3036.1</v>
      </c>
      <c r="J68">
        <v>19.5</v>
      </c>
      <c r="K68">
        <f>I68*J68</f>
        <v>59203.95</v>
      </c>
      <c r="L68">
        <f>F68*5</f>
        <v>275</v>
      </c>
      <c r="P68">
        <f>K68-L68+M68-N68-O68</f>
        <v>58928.95</v>
      </c>
      <c r="R68">
        <f>G68/F68</f>
        <v>56.90909090909091</v>
      </c>
    </row>
    <row r="69">
      <c r="A69">
        <v>61</v>
      </c>
      <c r="B69" t="str">
        <v>25/10/2025</v>
      </c>
      <c r="C69" t="str">
        <v>Harish CB</v>
      </c>
      <c r="D69" t="str">
        <v>Belemaluru</v>
      </c>
      <c r="E69">
        <v>8088437586</v>
      </c>
      <c r="F69">
        <v>83</v>
      </c>
      <c r="G69">
        <v>4910</v>
      </c>
      <c r="H69">
        <f>G69*3/100</f>
        <v>147.3</v>
      </c>
      <c r="I69">
        <f>G69-H69</f>
        <v>4762.7</v>
      </c>
      <c r="J69">
        <v>19.35</v>
      </c>
      <c r="K69">
        <f>I69*J69</f>
        <v>92158.24500000001</v>
      </c>
      <c r="L69">
        <f>F69*5</f>
        <v>415</v>
      </c>
      <c r="P69">
        <f>K69-L69+M69-N69-O69</f>
        <v>91743.24500000001</v>
      </c>
      <c r="R69">
        <f>G69/F69</f>
        <v>59.1566265060241</v>
      </c>
    </row>
    <row r="70">
      <c r="A70">
        <v>62</v>
      </c>
      <c r="B70" t="str">
        <v>28/10/2025</v>
      </c>
      <c r="C70" t="str">
        <v>KIRISHNAPPA</v>
      </c>
      <c r="D70" t="str">
        <v>Belemaluru</v>
      </c>
      <c r="E70">
        <v>9900582468</v>
      </c>
      <c r="F70">
        <v>59</v>
      </c>
      <c r="G70">
        <v>3400</v>
      </c>
      <c r="H70">
        <f>G70*3/100</f>
        <v>102</v>
      </c>
      <c r="I70">
        <f>G70-H70</f>
        <v>3298</v>
      </c>
      <c r="J70">
        <v>19</v>
      </c>
      <c r="K70">
        <f>I70*J70</f>
        <v>62662</v>
      </c>
      <c r="L70">
        <f>F70*5</f>
        <v>295</v>
      </c>
      <c r="P70">
        <f>K70-L70+M70-N70-O70</f>
        <v>62367</v>
      </c>
      <c r="R70">
        <f>G70/F70</f>
        <v>57.6271186440678</v>
      </c>
    </row>
    <row r="71">
      <c r="A71">
        <v>63</v>
      </c>
      <c r="B71" t="str">
        <v>29/10/2025</v>
      </c>
      <c r="C71" t="str">
        <v>Prameshwarappa</v>
      </c>
      <c r="D71" t="str">
        <v>Belemaluru</v>
      </c>
      <c r="E71">
        <v>9332212073</v>
      </c>
      <c r="F71">
        <v>62</v>
      </c>
      <c r="G71">
        <v>3310</v>
      </c>
      <c r="H71">
        <v>33</v>
      </c>
      <c r="I71">
        <f>G71-H71</f>
        <v>3277</v>
      </c>
      <c r="J71">
        <v>19.4</v>
      </c>
      <c r="K71">
        <f>I71*J71</f>
        <v>63573.799999999996</v>
      </c>
      <c r="L71">
        <f>F71*5</f>
        <v>310</v>
      </c>
      <c r="P71">
        <f>K71-L71+M71-N71-O71</f>
        <v>63263.799999999996</v>
      </c>
      <c r="R71">
        <f>G71/F71</f>
        <v>53.38709677419355</v>
      </c>
    </row>
    <row r="72">
      <c r="A72">
        <v>64</v>
      </c>
      <c r="B72" t="str">
        <v>29/10/2025</v>
      </c>
      <c r="C72" t="str">
        <v>RUDAPPA</v>
      </c>
      <c r="D72" t="str">
        <v>HOLEHARHALLI</v>
      </c>
      <c r="E72">
        <v>7338403644</v>
      </c>
      <c r="F72">
        <v>17</v>
      </c>
      <c r="G72">
        <v>980</v>
      </c>
      <c r="H72">
        <f>G72*3/100</f>
        <v>29.4</v>
      </c>
      <c r="I72">
        <f>G72-H72</f>
        <v>950.6</v>
      </c>
      <c r="J72">
        <v>18.9</v>
      </c>
      <c r="K72">
        <f>I72*J72</f>
        <v>17966.34</v>
      </c>
      <c r="L72">
        <f>F72*5</f>
        <v>85</v>
      </c>
      <c r="P72">
        <f>K72-L72+M72-N72-O72</f>
        <v>17881.34</v>
      </c>
      <c r="R72">
        <f>G72/F72</f>
        <v>57.64705882352941</v>
      </c>
    </row>
    <row r="73">
      <c r="A73">
        <v>65</v>
      </c>
      <c r="B73" t="str">
        <v>29/10/2025</v>
      </c>
      <c r="C73" t="str">
        <v>SHIVU</v>
      </c>
      <c r="D73" t="str">
        <v>Belemaluru</v>
      </c>
      <c r="F73">
        <v>8</v>
      </c>
      <c r="G73">
        <v>470</v>
      </c>
      <c r="H73">
        <f>G73*3/100</f>
        <v>14.1</v>
      </c>
      <c r="I73">
        <f>G73-H73</f>
        <v>455.9</v>
      </c>
      <c r="J73">
        <v>18.9</v>
      </c>
      <c r="K73">
        <f>I73*J73</f>
        <v>8616.509999999998</v>
      </c>
      <c r="L73">
        <f>F73*5</f>
        <v>40</v>
      </c>
      <c r="P73">
        <f>K73-L73+M73-N73-O73</f>
        <v>8576.509999999998</v>
      </c>
      <c r="R73">
        <f>G73/F73</f>
        <v>58.75</v>
      </c>
    </row>
    <row r="74">
      <c r="A74">
        <v>66</v>
      </c>
      <c r="B74" t="str">
        <v>30/10/2025</v>
      </c>
      <c r="C74" t="str">
        <v xml:space="preserve">GIRISH </v>
      </c>
      <c r="D74" t="str">
        <v>Belemaluru</v>
      </c>
      <c r="E74">
        <v>812392364</v>
      </c>
      <c r="F74">
        <v>17</v>
      </c>
      <c r="G74">
        <v>990</v>
      </c>
      <c r="H74">
        <f>G74*3/100</f>
        <v>29.7</v>
      </c>
      <c r="I74">
        <f>G74-H74</f>
        <v>960.3</v>
      </c>
      <c r="J74">
        <v>18.9</v>
      </c>
      <c r="K74">
        <f>I74*J74</f>
        <v>18149.67</v>
      </c>
      <c r="L74">
        <f>F74*5</f>
        <v>85</v>
      </c>
      <c r="P74">
        <f>K74-L74+M74-N74-O74</f>
        <v>18064.67</v>
      </c>
      <c r="R74">
        <f>G74/F74</f>
        <v>58.23529411764706</v>
      </c>
    </row>
    <row r="75">
      <c r="A75">
        <v>67</v>
      </c>
      <c r="B75" t="str">
        <v>30/10/2025</v>
      </c>
      <c r="C75" t="str">
        <v xml:space="preserve">GIRISH </v>
      </c>
      <c r="D75" t="str">
        <v>Belemaluru</v>
      </c>
      <c r="E75">
        <v>8861869103</v>
      </c>
      <c r="F75">
        <v>16</v>
      </c>
      <c r="G75">
        <v>940</v>
      </c>
      <c r="H75">
        <f>G75*3/100</f>
        <v>28.2</v>
      </c>
      <c r="I75">
        <f>G75-H75</f>
        <v>911.8</v>
      </c>
      <c r="J75">
        <v>18.9</v>
      </c>
      <c r="K75">
        <f>I75*J75</f>
        <v>17233.019999999997</v>
      </c>
      <c r="L75">
        <f>F75*5</f>
        <v>80</v>
      </c>
      <c r="P75">
        <f>K75-L75+M75-N75-O75</f>
        <v>17153.019999999997</v>
      </c>
      <c r="R75">
        <f>G75/F75</f>
        <v>58.75</v>
      </c>
    </row>
    <row r="76">
      <c r="A76">
        <v>68</v>
      </c>
      <c r="B76" t="str">
        <v>30/10/2025</v>
      </c>
      <c r="C76" t="str">
        <v>CHNESH</v>
      </c>
      <c r="D76" t="str">
        <v>Belemaluru</v>
      </c>
      <c r="E76">
        <v>6362716087</v>
      </c>
      <c r="F76">
        <v>22</v>
      </c>
      <c r="G76">
        <v>1310</v>
      </c>
      <c r="H76">
        <f>G76*3/100</f>
        <v>39.3</v>
      </c>
      <c r="I76">
        <f>G76-H76</f>
        <v>1270.7</v>
      </c>
      <c r="J76">
        <v>18.9</v>
      </c>
      <c r="K76">
        <f>I76*J76</f>
        <v>24016.23</v>
      </c>
      <c r="L76">
        <f>F76*5</f>
        <v>110</v>
      </c>
      <c r="P76">
        <f>K76-L76+M76-N76-O76</f>
        <v>23906.23</v>
      </c>
      <c r="R76">
        <f>G76/F76</f>
        <v>59.54545454545455</v>
      </c>
    </row>
    <row r="77">
      <c r="A77">
        <v>69</v>
      </c>
      <c r="B77" t="str">
        <v>30/10/2025</v>
      </c>
      <c r="C77" t="str">
        <v>MANJAPPA</v>
      </c>
      <c r="D77" t="str">
        <v>Belemaluru</v>
      </c>
      <c r="E77">
        <v>8187048486</v>
      </c>
      <c r="F77">
        <v>28</v>
      </c>
      <c r="G77">
        <v>1620</v>
      </c>
      <c r="H77">
        <f>G77*3/100</f>
        <v>48.6</v>
      </c>
      <c r="I77">
        <f>G77-H77</f>
        <v>1571.4</v>
      </c>
      <c r="J77">
        <v>18.9</v>
      </c>
      <c r="K77">
        <f>I77*J77</f>
        <v>29699.46</v>
      </c>
      <c r="L77">
        <f>F77*5</f>
        <v>140</v>
      </c>
      <c r="N77">
        <v>15000</v>
      </c>
      <c r="P77">
        <f>K77-L77+M77-N77-O77</f>
        <v>14559.46</v>
      </c>
      <c r="R77">
        <f>G77/F77</f>
        <v>57.857142857142854</v>
      </c>
    </row>
    <row r="78">
      <c r="A78">
        <v>70</v>
      </c>
      <c r="B78" t="str">
        <v>30/10/2025</v>
      </c>
      <c r="C78" t="str">
        <v>VASAPPA</v>
      </c>
      <c r="D78" t="str">
        <v>Belemaluru</v>
      </c>
      <c r="E78">
        <v>7899452899</v>
      </c>
      <c r="F78">
        <v>17</v>
      </c>
      <c r="G78">
        <v>960</v>
      </c>
      <c r="H78">
        <f>G78*3/100</f>
        <v>28.8</v>
      </c>
      <c r="I78">
        <f>G78-H78</f>
        <v>931.2</v>
      </c>
      <c r="J78">
        <v>18.9</v>
      </c>
      <c r="K78">
        <f>I78*J78</f>
        <v>17599.68</v>
      </c>
      <c r="L78">
        <f>F78*5</f>
        <v>85</v>
      </c>
      <c r="P78">
        <f>K78-L78+M78-N78-O78</f>
        <v>17514.68</v>
      </c>
      <c r="R78">
        <f>G78/F78</f>
        <v>56.470588235294116</v>
      </c>
    </row>
    <row r="79">
      <c r="A79">
        <v>71</v>
      </c>
      <c r="B79" t="str">
        <v>30/10/2025</v>
      </c>
      <c r="C79" t="str">
        <v>Shatamurthi</v>
      </c>
      <c r="D79" t="str">
        <v>HONNALI</v>
      </c>
      <c r="E79">
        <v>9742444353</v>
      </c>
      <c r="F79">
        <v>42</v>
      </c>
      <c r="G79">
        <v>2480</v>
      </c>
      <c r="H79">
        <f>G79*3/100</f>
        <v>74.4</v>
      </c>
      <c r="I79">
        <f>G79-H79</f>
        <v>2405.6</v>
      </c>
      <c r="J79">
        <v>19</v>
      </c>
      <c r="K79">
        <f>I79*J79</f>
        <v>45706.4</v>
      </c>
      <c r="L79">
        <f>F79*5</f>
        <v>210</v>
      </c>
      <c r="P79">
        <f>K79-L79+M79-N79-O79</f>
        <v>45496.4</v>
      </c>
      <c r="R79">
        <f>G79/F79</f>
        <v>59.04761904761905</v>
      </c>
    </row>
    <row r="80">
      <c r="A80">
        <v>72</v>
      </c>
      <c r="B80" t="str">
        <v>30/10/2025</v>
      </c>
      <c r="C80" t="str">
        <v>Rajhekar</v>
      </c>
      <c r="D80" t="str">
        <v>Holeharhalli</v>
      </c>
      <c r="E80">
        <v>9880259820</v>
      </c>
      <c r="F80">
        <v>32</v>
      </c>
      <c r="G80">
        <v>1900</v>
      </c>
      <c r="H80">
        <f>G80*3/100</f>
        <v>57</v>
      </c>
      <c r="I80">
        <f>G80-H80</f>
        <v>1843</v>
      </c>
      <c r="J80">
        <v>19</v>
      </c>
      <c r="K80">
        <f>I80*J80</f>
        <v>35017</v>
      </c>
      <c r="L80">
        <f>F80*5</f>
        <v>160</v>
      </c>
      <c r="P80">
        <f>K80-L80+M80-N80-O80</f>
        <v>34857</v>
      </c>
      <c r="R80">
        <f>G80/F80</f>
        <v>59.375</v>
      </c>
    </row>
    <row r="81">
      <c r="A81">
        <v>73</v>
      </c>
      <c r="B81" t="str">
        <v>31/10/2025</v>
      </c>
      <c r="C81" t="str">
        <v>BASAVARAJ</v>
      </c>
      <c r="D81" t="str">
        <v>Belemaluru</v>
      </c>
      <c r="E81">
        <v>8197105875</v>
      </c>
      <c r="F81">
        <v>33</v>
      </c>
      <c r="G81">
        <v>1900</v>
      </c>
      <c r="H81">
        <f>G81*3/100</f>
        <v>57</v>
      </c>
      <c r="I81">
        <f>G81-H81</f>
        <v>1843</v>
      </c>
      <c r="J81">
        <v>18.9</v>
      </c>
      <c r="K81">
        <f>I81*J81</f>
        <v>34832.7</v>
      </c>
      <c r="L81">
        <f>F81*5</f>
        <v>165</v>
      </c>
      <c r="P81">
        <f>K81-L81+M81-N81-O81</f>
        <v>34667.7</v>
      </c>
      <c r="R81">
        <f>G81/F81</f>
        <v>57.57575757575758</v>
      </c>
    </row>
    <row r="82">
      <c r="A82">
        <v>74</v>
      </c>
      <c r="B82" t="str">
        <v>31/10/2025</v>
      </c>
      <c r="C82" t="str">
        <v>HANUMATHAPPA</v>
      </c>
      <c r="D82" t="str">
        <v>Digdgur</v>
      </c>
      <c r="E82">
        <v>7204803213</v>
      </c>
      <c r="F82">
        <v>33</v>
      </c>
      <c r="G82">
        <v>1880</v>
      </c>
      <c r="H82">
        <f>G82*3/100</f>
        <v>56.4</v>
      </c>
      <c r="I82">
        <f>G82-H82</f>
        <v>1823.6</v>
      </c>
      <c r="J82">
        <v>18.6</v>
      </c>
      <c r="K82">
        <f>I82*J82</f>
        <v>33918.96</v>
      </c>
      <c r="L82">
        <f>F82*5</f>
        <v>165</v>
      </c>
      <c r="P82">
        <f>K82-L82+M82-N82-O82</f>
        <v>33753.96</v>
      </c>
      <c r="R82">
        <f>G82/F82</f>
        <v>56.96969696969697</v>
      </c>
    </row>
    <row r="83">
      <c r="G83">
        <v>1</v>
      </c>
      <c r="H83">
        <f>G83*3/100</f>
        <v>0.03</v>
      </c>
      <c r="I83">
        <f>G83-H83</f>
        <v>0.97</v>
      </c>
      <c r="P83">
        <f>K83-L83+M83-N83-O83</f>
        <v>0</v>
      </c>
    </row>
    <row r="84">
      <c r="G84">
        <v>1</v>
      </c>
      <c r="H84">
        <f>G84*3/100</f>
        <v>0.03</v>
      </c>
      <c r="I84">
        <f>G84-H84</f>
        <v>0.97</v>
      </c>
      <c r="P84">
        <f>K84-L84+M84-N84-O84</f>
        <v>0</v>
      </c>
    </row>
    <row r="85">
      <c r="A85">
        <v>75</v>
      </c>
      <c r="B85">
        <v>45668</v>
      </c>
      <c r="C85" t="str">
        <v>PRADEEP</v>
      </c>
      <c r="D85" t="str">
        <v>HONNALI</v>
      </c>
      <c r="E85">
        <v>8093165122</v>
      </c>
      <c r="F85">
        <v>14</v>
      </c>
      <c r="G85">
        <v>790</v>
      </c>
      <c r="H85">
        <f>G85*3/100</f>
        <v>23.7</v>
      </c>
      <c r="I85">
        <f>G85-H85</f>
        <v>766.3</v>
      </c>
      <c r="J85">
        <v>18.8</v>
      </c>
      <c r="K85">
        <f>I85*J85</f>
        <v>14406.44</v>
      </c>
      <c r="L85">
        <f>F85*5</f>
        <v>70</v>
      </c>
      <c r="P85">
        <f>K85-L85+M85-N85-O85</f>
        <v>14336.44</v>
      </c>
      <c r="R85">
        <f>G85/F85</f>
        <v>56.42857142857143</v>
      </c>
    </row>
    <row r="86">
      <c r="A86">
        <v>76</v>
      </c>
      <c r="B86">
        <v>45668</v>
      </c>
      <c r="C86" t="str">
        <v>Ravi</v>
      </c>
      <c r="D86" t="str">
        <v>Belemaluu</v>
      </c>
      <c r="E86">
        <v>8050966992</v>
      </c>
      <c r="F86">
        <v>7</v>
      </c>
      <c r="G86">
        <v>372</v>
      </c>
      <c r="H86">
        <f>G86*3/100</f>
        <v>11.16</v>
      </c>
      <c r="I86">
        <f>G86-H86</f>
        <v>360.84</v>
      </c>
      <c r="J86">
        <v>18.8</v>
      </c>
      <c r="K86">
        <f>I86*J86</f>
        <v>6783.7919999999995</v>
      </c>
      <c r="L86">
        <f>F86*5</f>
        <v>35</v>
      </c>
      <c r="P86">
        <f>K86-L86+M86-N86-O86</f>
        <v>6748.7919999999995</v>
      </c>
      <c r="R86">
        <f>G86/F86</f>
        <v>53.142857142857146</v>
      </c>
    </row>
    <row r="87">
      <c r="A87">
        <v>77</v>
      </c>
      <c r="B87">
        <v>45668</v>
      </c>
      <c r="C87" t="str">
        <v>Eshawar</v>
      </c>
      <c r="D87" t="str">
        <v>Kotemaluru</v>
      </c>
      <c r="E87">
        <v>8050966992</v>
      </c>
      <c r="F87">
        <v>170</v>
      </c>
      <c r="G87">
        <v>10230</v>
      </c>
      <c r="H87">
        <f>G87*3/100</f>
        <v>306.9</v>
      </c>
      <c r="I87">
        <f>G87-H87</f>
        <v>9923.1</v>
      </c>
      <c r="J87">
        <v>19.2</v>
      </c>
      <c r="K87">
        <f>I87*J87</f>
        <v>190523.52</v>
      </c>
      <c r="L87">
        <f>F87*5</f>
        <v>850</v>
      </c>
      <c r="P87">
        <f>K87-L87+M87-N87-O87</f>
        <v>189673.52</v>
      </c>
      <c r="R87">
        <f>G87/F87</f>
        <v>60.1764705882353</v>
      </c>
    </row>
    <row r="88">
      <c r="A88">
        <v>78</v>
      </c>
      <c r="B88">
        <v>45668</v>
      </c>
      <c r="C88" t="str">
        <v>Shakarppa</v>
      </c>
      <c r="D88" t="str">
        <v>Belemaluru</v>
      </c>
      <c r="E88">
        <v>8431720695</v>
      </c>
      <c r="F88">
        <v>30</v>
      </c>
      <c r="G88">
        <v>1830</v>
      </c>
      <c r="H88">
        <f>G88*3/100</f>
        <v>54.9</v>
      </c>
      <c r="I88">
        <f>G88-H88</f>
        <v>1775.1</v>
      </c>
      <c r="J88">
        <v>19.25</v>
      </c>
      <c r="K88">
        <f>I88*J88</f>
        <v>34170.674999999996</v>
      </c>
      <c r="L88">
        <f>F88*5</f>
        <v>150</v>
      </c>
      <c r="P88">
        <f>K88-L88+M88-N88-O88</f>
        <v>34020.674999999996</v>
      </c>
      <c r="R88">
        <f>G88/F88</f>
        <v>61</v>
      </c>
    </row>
    <row r="89">
      <c r="A89">
        <v>79</v>
      </c>
      <c r="B89">
        <v>45699</v>
      </c>
      <c r="C89" t="str">
        <v>Nagarajappa</v>
      </c>
      <c r="D89" t="str">
        <v>Belemaluru</v>
      </c>
      <c r="E89">
        <v>9113628529</v>
      </c>
      <c r="F89">
        <v>100</v>
      </c>
      <c r="G89">
        <v>5100</v>
      </c>
      <c r="H89">
        <f>G89*3/100</f>
        <v>153</v>
      </c>
      <c r="I89">
        <f>G89-H89</f>
        <v>4947</v>
      </c>
      <c r="J89">
        <v>19.25</v>
      </c>
      <c r="K89">
        <f>I89*J89</f>
        <v>95229.75</v>
      </c>
      <c r="L89">
        <f>F89*5</f>
        <v>500</v>
      </c>
      <c r="N89">
        <v>100</v>
      </c>
      <c r="P89">
        <f>K89-L89+M89-N89-O89</f>
        <v>94629.75</v>
      </c>
      <c r="R89">
        <f>G89/F89</f>
        <v>51</v>
      </c>
    </row>
    <row r="90">
      <c r="A90">
        <v>80</v>
      </c>
      <c r="B90">
        <v>45699</v>
      </c>
      <c r="C90" t="str">
        <v>Hanumantappa</v>
      </c>
      <c r="D90" t="str">
        <v>Belemaluru</v>
      </c>
      <c r="E90">
        <v>9845471127</v>
      </c>
      <c r="F90">
        <v>80</v>
      </c>
      <c r="G90">
        <v>4690</v>
      </c>
      <c r="H90">
        <f>G90*3/100</f>
        <v>140.7</v>
      </c>
      <c r="I90">
        <f>G90-H90</f>
        <v>4549.3</v>
      </c>
      <c r="J90">
        <v>19.25</v>
      </c>
      <c r="K90">
        <f>I90*J90</f>
        <v>87574.02500000001</v>
      </c>
      <c r="L90">
        <f>F90*5</f>
        <v>400</v>
      </c>
      <c r="P90">
        <f>K90-L90+M90-N90-O90</f>
        <v>87174.02500000001</v>
      </c>
      <c r="R90">
        <f>G90/F90</f>
        <v>58.625</v>
      </c>
    </row>
    <row r="91">
      <c r="A91">
        <v>81</v>
      </c>
      <c r="B91">
        <v>45699</v>
      </c>
      <c r="C91" t="str">
        <v>raju</v>
      </c>
      <c r="D91" t="str">
        <v>Holehalli</v>
      </c>
      <c r="E91">
        <v>7619612940</v>
      </c>
      <c r="F91">
        <v>81</v>
      </c>
      <c r="G91">
        <v>4790</v>
      </c>
      <c r="H91">
        <f>G91*3/100</f>
        <v>143.7</v>
      </c>
      <c r="I91">
        <f>G91-H91</f>
        <v>4646.3</v>
      </c>
      <c r="J91">
        <v>19.25</v>
      </c>
      <c r="K91">
        <f>I91*J91</f>
        <v>89441.27500000001</v>
      </c>
      <c r="L91">
        <f>F91*5</f>
        <v>405</v>
      </c>
      <c r="P91">
        <f>K91-L91+M91-N91-O91</f>
        <v>89036.27500000001</v>
      </c>
      <c r="R91">
        <f>G91/F91</f>
        <v>59.135802469135804</v>
      </c>
    </row>
    <row r="92">
      <c r="A92">
        <v>82</v>
      </c>
      <c r="B92">
        <v>45758</v>
      </c>
      <c r="C92" t="str">
        <v>PUTTAPPA</v>
      </c>
      <c r="D92" t="str">
        <v>BeLEMALURU</v>
      </c>
      <c r="E92">
        <v>9035250204</v>
      </c>
      <c r="F92">
        <v>60</v>
      </c>
      <c r="G92">
        <v>3510</v>
      </c>
      <c r="H92">
        <f>G92*3/100</f>
        <v>105.3</v>
      </c>
      <c r="I92">
        <f>G92-H92</f>
        <v>3404.7</v>
      </c>
      <c r="J92">
        <v>19</v>
      </c>
      <c r="K92">
        <f>I92*J92</f>
        <v>64689.299999999996</v>
      </c>
      <c r="L92">
        <f>F92*5</f>
        <v>300</v>
      </c>
      <c r="P92">
        <f>K92-L92+M92-N92-O92</f>
        <v>64389.299999999996</v>
      </c>
      <c r="R92">
        <f>G92/F92</f>
        <v>58.5</v>
      </c>
    </row>
    <row r="93">
      <c r="A93">
        <v>83</v>
      </c>
      <c r="B93">
        <v>45758</v>
      </c>
      <c r="C93" t="str">
        <v>VEERENDRA</v>
      </c>
      <c r="D93" t="str">
        <v>BELEMALURU</v>
      </c>
      <c r="E93">
        <v>9731171960</v>
      </c>
      <c r="F93">
        <v>32</v>
      </c>
      <c r="G93">
        <v>1870</v>
      </c>
      <c r="H93">
        <f>G93*3/100</f>
        <v>56.1</v>
      </c>
      <c r="I93">
        <f>G93-H93</f>
        <v>1813.9</v>
      </c>
      <c r="J93">
        <v>18.9</v>
      </c>
      <c r="K93">
        <f>I93*J93</f>
        <v>34282.71</v>
      </c>
      <c r="L93">
        <f>F93*5</f>
        <v>160</v>
      </c>
      <c r="P93">
        <f>K93-L93+M93-N93-O93</f>
        <v>34122.71</v>
      </c>
      <c r="R93">
        <f>G93/F93</f>
        <v>58.4375</v>
      </c>
    </row>
    <row r="94">
      <c r="A94">
        <v>84</v>
      </c>
      <c r="B94">
        <v>45758</v>
      </c>
      <c r="C94" t="str">
        <v>HALADAPPA</v>
      </c>
      <c r="D94" t="str">
        <v>Balmuru</v>
      </c>
      <c r="E94">
        <v>9148737394</v>
      </c>
      <c r="F94">
        <v>44</v>
      </c>
      <c r="G94">
        <v>3490</v>
      </c>
      <c r="H94">
        <f>G94*3/100</f>
        <v>104.7</v>
      </c>
      <c r="I94">
        <f>G94-H94</f>
        <v>3385.3</v>
      </c>
      <c r="J94">
        <v>19</v>
      </c>
      <c r="K94">
        <f>I94*J94</f>
        <v>64320.700000000004</v>
      </c>
      <c r="L94">
        <f>F94*5</f>
        <v>220</v>
      </c>
      <c r="P94">
        <f>K94-L94+M94-N94-O94</f>
        <v>64100.700000000004</v>
      </c>
      <c r="R94">
        <f>G94/F94</f>
        <v>79.31818181818181</v>
      </c>
    </row>
    <row r="95">
      <c r="A95">
        <v>85</v>
      </c>
      <c r="B95">
        <v>45758</v>
      </c>
      <c r="C95" t="str">
        <v>Haleshappa</v>
      </c>
      <c r="D95" t="str">
        <v>Belemaluru</v>
      </c>
      <c r="E95">
        <v>974390131</v>
      </c>
      <c r="F95">
        <v>54</v>
      </c>
      <c r="G95">
        <v>3210</v>
      </c>
      <c r="H95">
        <f>G95*3/100</f>
        <v>96.3</v>
      </c>
      <c r="I95">
        <f>G95-H95</f>
        <v>3113.7</v>
      </c>
      <c r="J95">
        <v>19.25</v>
      </c>
      <c r="K95">
        <f>I95*J95</f>
        <v>59938.725</v>
      </c>
      <c r="L95">
        <f>F95*5</f>
        <v>270</v>
      </c>
      <c r="P95">
        <f>K95-L95+M95-N95-O95</f>
        <v>59668.725</v>
      </c>
      <c r="R95" t="e">
        <f>#REF!/#REF!</f>
        <v>#REF!</v>
      </c>
    </row>
    <row r="96">
      <c r="A96">
        <v>86</v>
      </c>
      <c r="B96">
        <v>45758</v>
      </c>
      <c r="C96" t="str">
        <v>Gadigappa</v>
      </c>
      <c r="D96" t="str">
        <v>Masdi</v>
      </c>
      <c r="E96">
        <v>8310725208</v>
      </c>
      <c r="F96">
        <v>39</v>
      </c>
      <c r="G96">
        <v>2010</v>
      </c>
      <c r="H96">
        <f>G96*3/100</f>
        <v>60.3</v>
      </c>
      <c r="I96">
        <f>G96-H96</f>
        <v>1949.7</v>
      </c>
      <c r="J96">
        <v>18.2</v>
      </c>
      <c r="K96">
        <f>I96*J96</f>
        <v>35484.54</v>
      </c>
      <c r="L96">
        <f>F96*5</f>
        <v>195</v>
      </c>
      <c r="P96">
        <f>K96-L96+M96-N96-O96</f>
        <v>35289.54</v>
      </c>
      <c r="R96" t="e">
        <f>#REF!/#REF!</f>
        <v>#REF!</v>
      </c>
    </row>
    <row r="97">
      <c r="A97">
        <v>87</v>
      </c>
      <c r="B97">
        <v>45758</v>
      </c>
      <c r="C97" t="str">
        <v>SRINIVAS</v>
      </c>
      <c r="D97" t="str">
        <v>BALMURI</v>
      </c>
      <c r="E97">
        <v>9844875290</v>
      </c>
      <c r="F97">
        <v>84</v>
      </c>
      <c r="G97">
        <v>4780</v>
      </c>
      <c r="H97">
        <f>G97*3/100</f>
        <v>143.4</v>
      </c>
      <c r="I97">
        <f>G97-H97</f>
        <v>4636.6</v>
      </c>
      <c r="J97">
        <v>19.1</v>
      </c>
      <c r="K97">
        <f>I97*J97</f>
        <v>88559.06000000001</v>
      </c>
      <c r="L97">
        <f>F97*5</f>
        <v>420</v>
      </c>
      <c r="P97">
        <f>K97-L97+M97-N97-O97</f>
        <v>88139.06000000001</v>
      </c>
      <c r="R97">
        <f>G97/F97</f>
        <v>56.904761904761905</v>
      </c>
    </row>
    <row r="98">
      <c r="A98">
        <v>88</v>
      </c>
      <c r="B98">
        <v>45758</v>
      </c>
      <c r="C98" t="str">
        <v>SHATRAJ</v>
      </c>
      <c r="D98" t="str">
        <v>MASDI</v>
      </c>
      <c r="E98">
        <v>9035355413</v>
      </c>
      <c r="F98">
        <v>32</v>
      </c>
      <c r="G98">
        <v>1710</v>
      </c>
      <c r="H98">
        <f>G98*3/100</f>
        <v>51.3</v>
      </c>
      <c r="I98">
        <f>G98-H98</f>
        <v>1658.7</v>
      </c>
      <c r="J98">
        <v>18.5</v>
      </c>
      <c r="K98">
        <f>I95*J98</f>
        <v>57603.45</v>
      </c>
      <c r="L98">
        <f>F98*5</f>
        <v>160</v>
      </c>
      <c r="P98">
        <f>K98-L98+M98-N98-O98</f>
        <v>57443.45</v>
      </c>
      <c r="R98">
        <f>G95/F95</f>
        <v>59.44444444444444</v>
      </c>
    </row>
    <row r="99">
      <c r="A99">
        <v>89</v>
      </c>
      <c r="B99">
        <v>45758</v>
      </c>
      <c r="C99" t="str">
        <v>RAMU</v>
      </c>
      <c r="D99" t="str">
        <v>MASDI</v>
      </c>
      <c r="E99">
        <v>8970799182</v>
      </c>
      <c r="F99">
        <v>34</v>
      </c>
      <c r="G99">
        <v>1870</v>
      </c>
      <c r="H99">
        <f>G99*3/100</f>
        <v>56.1</v>
      </c>
      <c r="I99">
        <f>G99-H99</f>
        <v>1813.9</v>
      </c>
      <c r="J99">
        <v>18.65</v>
      </c>
      <c r="K99">
        <f>I99*J99</f>
        <v>33829.235</v>
      </c>
      <c r="L99">
        <f>F99*5</f>
        <v>170</v>
      </c>
      <c r="N99">
        <v>75</v>
      </c>
      <c r="P99">
        <f>K99-L99+M99-N99-O99</f>
        <v>33584.235</v>
      </c>
      <c r="R99">
        <f>G110/F110</f>
        <v>57.08860759493671</v>
      </c>
    </row>
    <row r="100">
      <c r="A100">
        <v>90</v>
      </c>
      <c r="B100">
        <v>45758</v>
      </c>
      <c r="C100" t="str">
        <v>GANGADAR</v>
      </c>
      <c r="D100" t="str">
        <v>BALMURI</v>
      </c>
      <c r="E100">
        <v>9901307583</v>
      </c>
      <c r="F100">
        <v>73</v>
      </c>
      <c r="G100">
        <v>4220</v>
      </c>
      <c r="H100">
        <f>G100*3/100</f>
        <v>126.6</v>
      </c>
      <c r="I100">
        <f>G100-H100</f>
        <v>4093.4</v>
      </c>
      <c r="J100">
        <v>18.5</v>
      </c>
      <c r="K100">
        <f>I100*J100</f>
        <v>75727.90000000001</v>
      </c>
      <c r="L100">
        <f>F100*5</f>
        <v>365</v>
      </c>
      <c r="N100">
        <v>170</v>
      </c>
      <c r="P100">
        <f>K100-L100+M100-N100-O100</f>
        <v>75192.90000000001</v>
      </c>
      <c r="R100">
        <f>G111/F111</f>
        <v>58.857142857142854</v>
      </c>
    </row>
    <row r="101">
      <c r="A101">
        <v>91</v>
      </c>
      <c r="B101">
        <v>45758</v>
      </c>
      <c r="C101" t="str">
        <v>HARISH</v>
      </c>
      <c r="D101" t="str">
        <v>BALMURI</v>
      </c>
      <c r="E101">
        <v>8123943082</v>
      </c>
      <c r="F101">
        <v>47</v>
      </c>
      <c r="G101">
        <v>2700</v>
      </c>
      <c r="H101">
        <f>G101*3/100</f>
        <v>81</v>
      </c>
      <c r="I101">
        <f>G101-H101</f>
        <v>2619</v>
      </c>
      <c r="J101">
        <v>18.5</v>
      </c>
      <c r="K101">
        <f>I101*J101</f>
        <v>48451.5</v>
      </c>
      <c r="L101">
        <f>F101*5</f>
        <v>235</v>
      </c>
      <c r="P101">
        <f>K101-L101+M101-N101-O101</f>
        <v>48216.5</v>
      </c>
      <c r="R101">
        <f>G96/F96</f>
        <v>51.53846153846154</v>
      </c>
    </row>
    <row r="102">
      <c r="A102">
        <v>92</v>
      </c>
      <c r="B102">
        <v>45758</v>
      </c>
      <c r="C102" t="str">
        <v>DAYAMANNA</v>
      </c>
      <c r="D102" t="str">
        <v>HANUSAGARA</v>
      </c>
      <c r="E102">
        <v>9148180306</v>
      </c>
      <c r="F102">
        <v>53</v>
      </c>
      <c r="G102">
        <v>3010</v>
      </c>
      <c r="H102">
        <f>G102*3/100</f>
        <v>90.3</v>
      </c>
      <c r="I102">
        <f>G102-H102</f>
        <v>2919.7</v>
      </c>
      <c r="J102">
        <v>18.9</v>
      </c>
      <c r="K102">
        <f>I102*J102</f>
        <v>55182.329999999994</v>
      </c>
      <c r="L102">
        <f>F102*5</f>
        <v>265</v>
      </c>
      <c r="P102">
        <f>K102-L102+M102-N102-O102</f>
        <v>54917.329999999994</v>
      </c>
      <c r="R102">
        <f>G113/F113</f>
        <v>57.714285714285715</v>
      </c>
    </row>
    <row r="103">
      <c r="A103">
        <v>93</v>
      </c>
      <c r="B103">
        <v>45758</v>
      </c>
      <c r="C103" t="str">
        <v>MANJU</v>
      </c>
      <c r="D103" t="str">
        <v>HANUSAGARA</v>
      </c>
      <c r="E103">
        <v>9148747440</v>
      </c>
      <c r="F103">
        <v>116</v>
      </c>
      <c r="G103">
        <v>6760</v>
      </c>
      <c r="H103">
        <f>G103*3/100</f>
        <v>202.8</v>
      </c>
      <c r="I103">
        <f>G103-H103</f>
        <v>6557.2</v>
      </c>
      <c r="J103">
        <v>19</v>
      </c>
      <c r="K103">
        <f>I103*J103</f>
        <v>124586.8</v>
      </c>
      <c r="L103">
        <f>F103*5</f>
        <v>580</v>
      </c>
      <c r="P103">
        <f>K103-L103+M103-N103-O103</f>
        <v>124006.8</v>
      </c>
      <c r="R103">
        <f>G114/F114</f>
        <v>57.8125</v>
      </c>
    </row>
    <row r="104">
      <c r="A104">
        <v>94</v>
      </c>
      <c r="B104">
        <v>45758</v>
      </c>
      <c r="C104" t="str">
        <v>JAYAPPA</v>
      </c>
      <c r="D104" t="str">
        <v>BELEMALURU</v>
      </c>
      <c r="E104">
        <v>7259580951</v>
      </c>
      <c r="F104">
        <v>29</v>
      </c>
      <c r="G104">
        <v>1720</v>
      </c>
      <c r="H104">
        <f>G104*3/100</f>
        <v>51.6</v>
      </c>
      <c r="I104">
        <f>G104-H104</f>
        <v>1668.4</v>
      </c>
      <c r="J104">
        <v>19.1</v>
      </c>
      <c r="K104">
        <f>I101*J104</f>
        <v>50022.9</v>
      </c>
      <c r="L104">
        <f>F104*5</f>
        <v>145</v>
      </c>
      <c r="P104">
        <f>K104-L104+M104-N104-O104</f>
        <v>49877.9</v>
      </c>
      <c r="R104">
        <f>G115/F115</f>
        <v>57.083333333333336</v>
      </c>
    </row>
    <row r="105">
      <c r="A105">
        <v>95</v>
      </c>
      <c r="B105">
        <v>45758</v>
      </c>
      <c r="C105" t="str">
        <v>Gangadar</v>
      </c>
      <c r="D105" t="str">
        <v>HOLESIRIGERE</v>
      </c>
      <c r="E105">
        <v>9880336158</v>
      </c>
      <c r="F105">
        <v>155</v>
      </c>
      <c r="G105">
        <v>9480</v>
      </c>
      <c r="H105">
        <v>0</v>
      </c>
      <c r="I105">
        <f>G105-H105</f>
        <v>9480</v>
      </c>
      <c r="J105">
        <v>19</v>
      </c>
      <c r="K105">
        <f>I105*J105</f>
        <v>180120</v>
      </c>
      <c r="L105">
        <f>F105*5</f>
        <v>775</v>
      </c>
      <c r="P105">
        <f>K105-L105+M105-N105-O105</f>
        <v>179345</v>
      </c>
      <c r="R105">
        <f>G116/F116</f>
        <v>57.15384615384615</v>
      </c>
    </row>
    <row r="106">
      <c r="A106">
        <v>96</v>
      </c>
      <c r="B106">
        <v>45788</v>
      </c>
      <c r="C106" t="str">
        <v>PRAKASH</v>
      </c>
      <c r="D106" t="str">
        <v>MASDI</v>
      </c>
      <c r="E106">
        <v>9902213368</v>
      </c>
      <c r="F106">
        <v>74</v>
      </c>
      <c r="G106">
        <v>4390</v>
      </c>
      <c r="H106">
        <f>G106*3/100</f>
        <v>131.7</v>
      </c>
      <c r="I106">
        <f>G106-H106</f>
        <v>4258.3</v>
      </c>
      <c r="J106">
        <v>19.15</v>
      </c>
      <c r="K106">
        <f>I106*J106</f>
        <v>81546.44499999999</v>
      </c>
      <c r="L106">
        <f>F106*5</f>
        <v>370</v>
      </c>
      <c r="P106">
        <f>K106-L106+M106-N106-O106</f>
        <v>81176.44499999999</v>
      </c>
      <c r="R106">
        <f>G117/F117</f>
        <v>60</v>
      </c>
    </row>
    <row r="107">
      <c r="A107">
        <v>97</v>
      </c>
      <c r="B107">
        <v>45788</v>
      </c>
      <c r="C107" t="str">
        <v>ANNAPPA</v>
      </c>
      <c r="D107" t="str">
        <v>HONNALI</v>
      </c>
      <c r="E107">
        <v>8123349796</v>
      </c>
      <c r="F107">
        <v>179</v>
      </c>
      <c r="G107">
        <v>10650</v>
      </c>
      <c r="H107">
        <f>G107*3/100</f>
        <v>319.5</v>
      </c>
      <c r="I107">
        <f>G107-H107</f>
        <v>10330.5</v>
      </c>
      <c r="J107">
        <v>19.5</v>
      </c>
      <c r="K107">
        <f>I107*J107</f>
        <v>201444.75</v>
      </c>
      <c r="L107">
        <f>F107*5</f>
        <v>895</v>
      </c>
      <c r="P107">
        <f>K107-L107+M107-N107-O107</f>
        <v>200549.75</v>
      </c>
      <c r="R107">
        <f>G107/F107</f>
        <v>59.497206703910614</v>
      </c>
    </row>
    <row r="108">
      <c r="A108">
        <v>98</v>
      </c>
      <c r="B108">
        <v>45788</v>
      </c>
      <c r="C108" t="str">
        <v>NARSIMAPPA</v>
      </c>
      <c r="D108" t="str">
        <v>MASDI</v>
      </c>
      <c r="E108">
        <v>9972635670</v>
      </c>
      <c r="F108">
        <v>44</v>
      </c>
      <c r="G108">
        <v>2500</v>
      </c>
      <c r="H108">
        <f>G108*3/100</f>
        <v>75</v>
      </c>
      <c r="I108">
        <f>G108-H108</f>
        <v>2425</v>
      </c>
      <c r="J108">
        <v>19</v>
      </c>
      <c r="K108">
        <f>I108*J108</f>
        <v>46075</v>
      </c>
      <c r="L108">
        <f>F108*5</f>
        <v>220</v>
      </c>
      <c r="P108">
        <f>K108-L108+M108-N108-O108</f>
        <v>45855</v>
      </c>
      <c r="R108">
        <f>G105/F105</f>
        <v>61.16129032258065</v>
      </c>
    </row>
    <row r="109">
      <c r="A109">
        <v>99</v>
      </c>
      <c r="B109">
        <v>45788</v>
      </c>
      <c r="C109" t="str">
        <v>KUMAR</v>
      </c>
      <c r="D109" t="str">
        <v>MASDI</v>
      </c>
      <c r="E109">
        <v>9353078057</v>
      </c>
      <c r="F109">
        <v>9</v>
      </c>
      <c r="G109">
        <v>540</v>
      </c>
      <c r="H109">
        <f>G109*3/100</f>
        <v>16.2</v>
      </c>
      <c r="I109">
        <f>G109-H109</f>
        <v>523.8</v>
      </c>
      <c r="J109">
        <v>19</v>
      </c>
      <c r="K109">
        <f>I109*J109</f>
        <v>9952.199999999999</v>
      </c>
      <c r="L109">
        <f>F109*5</f>
        <v>45</v>
      </c>
      <c r="P109">
        <f>K109-L109+M109-N109-O109</f>
        <v>9907.199999999999</v>
      </c>
      <c r="R109">
        <f>G120/F120</f>
        <v>58.111111111111114</v>
      </c>
    </row>
    <row r="110">
      <c r="A110">
        <v>100</v>
      </c>
      <c r="B110">
        <v>45788</v>
      </c>
      <c r="C110" t="str">
        <v>THIPASHI</v>
      </c>
      <c r="D110" t="str">
        <v>DIDGURU</v>
      </c>
      <c r="E110">
        <v>6363874353</v>
      </c>
      <c r="F110">
        <v>79</v>
      </c>
      <c r="G110">
        <v>4510</v>
      </c>
      <c r="H110">
        <f>G110*3/100</f>
        <v>135.3</v>
      </c>
      <c r="I110">
        <f>G110-H110</f>
        <v>4374.7</v>
      </c>
      <c r="J110">
        <v>19.1</v>
      </c>
      <c r="K110">
        <f>I110*J110</f>
        <v>83556.77</v>
      </c>
      <c r="L110">
        <f>F110*5</f>
        <v>395</v>
      </c>
      <c r="P110">
        <f>K110-L110+M110-N110-O110</f>
        <v>83161.77</v>
      </c>
      <c r="R110">
        <f>G121/F121</f>
        <v>58.72727272727273</v>
      </c>
    </row>
    <row r="111">
      <c r="A111">
        <v>101</v>
      </c>
      <c r="B111">
        <v>45788</v>
      </c>
      <c r="C111" t="str">
        <v>DAYAMMA</v>
      </c>
      <c r="D111" t="str">
        <v>HANUSAGARA</v>
      </c>
      <c r="E111">
        <v>0</v>
      </c>
      <c r="F111">
        <v>7</v>
      </c>
      <c r="G111">
        <v>412</v>
      </c>
      <c r="H111">
        <f>G111*3/100</f>
        <v>12.36</v>
      </c>
      <c r="I111">
        <f>G111-H111</f>
        <v>399.64</v>
      </c>
      <c r="J111">
        <v>19</v>
      </c>
      <c r="K111">
        <f>I111*J111</f>
        <v>7593.16</v>
      </c>
      <c r="L111">
        <f>F111*5</f>
        <v>35</v>
      </c>
      <c r="P111">
        <f>K111-L111+M111-N111-O111</f>
        <v>7558.16</v>
      </c>
      <c r="R111">
        <f>G106/F106</f>
        <v>59.32432432432432</v>
      </c>
    </row>
    <row r="112">
      <c r="A112">
        <v>102</v>
      </c>
      <c r="B112">
        <v>45788</v>
      </c>
      <c r="C112" t="str">
        <v>SOMASHAKARA</v>
      </c>
      <c r="D112" t="str">
        <v>MASDI</v>
      </c>
      <c r="E112">
        <v>9008204184</v>
      </c>
      <c r="F112">
        <v>22</v>
      </c>
      <c r="G112">
        <v>1200</v>
      </c>
      <c r="H112">
        <f>G112*3/100</f>
        <v>36</v>
      </c>
      <c r="I112">
        <f>G112-H112</f>
        <v>1164</v>
      </c>
      <c r="J112">
        <v>18.6</v>
      </c>
      <c r="K112">
        <f>I112*J112</f>
        <v>21650.4</v>
      </c>
      <c r="L112">
        <f>F112*5</f>
        <v>110</v>
      </c>
      <c r="P112">
        <f>K112-L112+M112-N112-O112</f>
        <v>21540.4</v>
      </c>
      <c r="R112">
        <f>G123/F123</f>
        <v>61.38461538461539</v>
      </c>
    </row>
    <row r="113">
      <c r="A113">
        <v>103</v>
      </c>
      <c r="B113">
        <v>45788</v>
      </c>
      <c r="C113" t="str">
        <v>SHIVAKUMAR</v>
      </c>
      <c r="D113" t="str">
        <v>JIGALI</v>
      </c>
      <c r="E113">
        <v>8748095189</v>
      </c>
      <c r="F113">
        <v>35</v>
      </c>
      <c r="G113">
        <v>2020</v>
      </c>
      <c r="H113">
        <f>G113*3/100</f>
        <v>60.6</v>
      </c>
      <c r="I113">
        <f>G113-H113</f>
        <v>1959.4</v>
      </c>
      <c r="J113">
        <v>19</v>
      </c>
      <c r="K113">
        <f>I113*J113</f>
        <v>37228.6</v>
      </c>
      <c r="L113">
        <f>F113*5</f>
        <v>175</v>
      </c>
      <c r="P113">
        <f>K113-L113+M113-N113-O113</f>
        <v>37053.6</v>
      </c>
      <c r="R113">
        <f>G124/F124</f>
        <v>59.682539682539684</v>
      </c>
    </row>
    <row r="114">
      <c r="A114">
        <v>104</v>
      </c>
      <c r="B114">
        <v>45788</v>
      </c>
      <c r="C114" t="str">
        <v>BASAVARAJ</v>
      </c>
      <c r="D114" t="str">
        <v>Masdi</v>
      </c>
      <c r="E114">
        <v>8197162901</v>
      </c>
      <c r="F114">
        <v>32</v>
      </c>
      <c r="G114">
        <v>1850</v>
      </c>
      <c r="H114">
        <f>G114*3/100</f>
        <v>55.5</v>
      </c>
      <c r="I114">
        <f>G114-H114</f>
        <v>1794.5</v>
      </c>
      <c r="J114">
        <v>18.65</v>
      </c>
      <c r="K114">
        <f>I114*J114</f>
        <v>33467.424999999996</v>
      </c>
      <c r="L114">
        <f>F114*5</f>
        <v>160</v>
      </c>
      <c r="P114">
        <f>K114-L114+M114-N114-O114</f>
        <v>33307.424999999996</v>
      </c>
      <c r="R114">
        <f>G125/F125</f>
        <v>60.1875</v>
      </c>
    </row>
    <row r="115">
      <c r="A115">
        <v>105</v>
      </c>
      <c r="B115">
        <v>45788</v>
      </c>
      <c r="C115" t="str">
        <v>GAJEDRA</v>
      </c>
      <c r="D115" t="str">
        <v>MASDI</v>
      </c>
      <c r="E115">
        <v>9743508673</v>
      </c>
      <c r="F115">
        <v>120</v>
      </c>
      <c r="G115">
        <v>6850</v>
      </c>
      <c r="H115">
        <f>G115*3/100</f>
        <v>205.5</v>
      </c>
      <c r="I115">
        <f>G115-H115</f>
        <v>6644.5</v>
      </c>
      <c r="J115">
        <v>18.65</v>
      </c>
      <c r="K115">
        <f>I115*J115</f>
        <v>123919.92499999999</v>
      </c>
      <c r="L115">
        <f>F115*5</f>
        <v>600</v>
      </c>
      <c r="N115">
        <v>140</v>
      </c>
      <c r="P115">
        <f>K115-L115+M115-N115-O115</f>
        <v>123179.92499999999</v>
      </c>
      <c r="R115">
        <f>G126/F126</f>
        <v>52.93103448275862</v>
      </c>
    </row>
    <row r="116">
      <c r="A116">
        <v>106</v>
      </c>
      <c r="B116">
        <v>45788</v>
      </c>
      <c r="C116" t="str">
        <v>THIRTANNA</v>
      </c>
      <c r="D116" t="str">
        <v>ARBGATTE</v>
      </c>
      <c r="E116">
        <v>0</v>
      </c>
      <c r="F116">
        <v>130</v>
      </c>
      <c r="G116">
        <v>7430</v>
      </c>
      <c r="H116">
        <v>0</v>
      </c>
      <c r="I116">
        <f>G116-H116</f>
        <v>7430</v>
      </c>
      <c r="J116">
        <v>19.5</v>
      </c>
      <c r="K116">
        <f>I116*J116</f>
        <v>144885</v>
      </c>
      <c r="L116">
        <v>780</v>
      </c>
      <c r="P116">
        <f>K116-L116+M116-N116-O116</f>
        <v>144105</v>
      </c>
      <c r="R116">
        <f>G127/F127</f>
        <v>61.13636363636363</v>
      </c>
    </row>
    <row r="117">
      <c r="A117">
        <v>107</v>
      </c>
      <c r="B117">
        <v>45788</v>
      </c>
      <c r="C117" t="str">
        <v>RAJAPPA</v>
      </c>
      <c r="D117" t="str">
        <v>BELEMALURU</v>
      </c>
      <c r="E117">
        <v>6363199574</v>
      </c>
      <c r="F117">
        <v>14</v>
      </c>
      <c r="G117">
        <v>840</v>
      </c>
      <c r="H117">
        <f>G117*3/100</f>
        <v>25.2</v>
      </c>
      <c r="I117">
        <f>G117-H117</f>
        <v>814.8</v>
      </c>
      <c r="J117">
        <v>19</v>
      </c>
      <c r="K117">
        <f>I117*J117</f>
        <v>15481.199999999999</v>
      </c>
      <c r="L117">
        <f>F117*5</f>
        <v>70</v>
      </c>
      <c r="P117">
        <f>K117-L117+M117-N117-O117</f>
        <v>15411.199999999999</v>
      </c>
      <c r="R117">
        <f>G117/F117</f>
        <v>60</v>
      </c>
    </row>
    <row r="118">
      <c r="A118">
        <v>108</v>
      </c>
      <c r="B118">
        <v>45819</v>
      </c>
      <c r="C118" t="str">
        <v>SUDDEP</v>
      </c>
      <c r="D118" t="str">
        <v>BELEMALURU</v>
      </c>
      <c r="E118">
        <v>9972632671</v>
      </c>
      <c r="F118">
        <v>82</v>
      </c>
      <c r="G118">
        <v>4740</v>
      </c>
      <c r="H118">
        <f>G118*3/100</f>
        <v>142.2</v>
      </c>
      <c r="I118">
        <f>G118-H118</f>
        <v>4597.8</v>
      </c>
      <c r="J118">
        <v>18.5</v>
      </c>
      <c r="K118">
        <f>I118*J118</f>
        <v>85059.3</v>
      </c>
      <c r="L118">
        <f>F118*5</f>
        <v>410</v>
      </c>
      <c r="P118">
        <f>K118-L118+M118-N118-O118</f>
        <v>84649.3</v>
      </c>
      <c r="R118">
        <f>G118/F118</f>
        <v>57.80487804878049</v>
      </c>
    </row>
    <row r="119">
      <c r="A119">
        <v>109</v>
      </c>
      <c r="B119">
        <v>45819</v>
      </c>
      <c r="C119" t="str">
        <v>AMITH</v>
      </c>
      <c r="D119" t="str">
        <v>HONNALI</v>
      </c>
      <c r="E119">
        <v>6362299784</v>
      </c>
      <c r="F119">
        <v>58</v>
      </c>
      <c r="G119">
        <v>3340</v>
      </c>
      <c r="H119">
        <f>G119*3/100</f>
        <v>100.2</v>
      </c>
      <c r="I119">
        <f>G119-H119</f>
        <v>3239.8</v>
      </c>
      <c r="J119">
        <v>18.7</v>
      </c>
      <c r="K119">
        <f>I119*J119</f>
        <v>60584.26</v>
      </c>
      <c r="L119">
        <f>F119*5</f>
        <v>290</v>
      </c>
      <c r="P119">
        <f>K119-L119+M119-N119-O119</f>
        <v>60294.26</v>
      </c>
      <c r="R119">
        <f>G119/F119</f>
        <v>57.58620689655172</v>
      </c>
    </row>
    <row r="120">
      <c r="A120">
        <v>110</v>
      </c>
      <c r="B120">
        <v>45819</v>
      </c>
      <c r="C120" t="str">
        <v>MAHESH</v>
      </c>
      <c r="D120" t="str">
        <v>HOLEHALLI</v>
      </c>
      <c r="E120">
        <v>8546903148</v>
      </c>
      <c r="F120">
        <v>90</v>
      </c>
      <c r="G120">
        <v>5230</v>
      </c>
      <c r="H120">
        <f>G120*3/100</f>
        <v>156.9</v>
      </c>
      <c r="I120">
        <f>G120-H120</f>
        <v>5073.1</v>
      </c>
      <c r="J120">
        <v>18.85</v>
      </c>
      <c r="K120">
        <f>I120*J120</f>
        <v>95627.93500000001</v>
      </c>
      <c r="L120">
        <f>F120*5</f>
        <v>450</v>
      </c>
      <c r="P120">
        <f>K120-L120+M120-N120-O120</f>
        <v>95177.93500000001</v>
      </c>
      <c r="R120">
        <f>G117/F117</f>
        <v>60</v>
      </c>
    </row>
    <row r="121">
      <c r="A121">
        <v>111</v>
      </c>
      <c r="B121">
        <v>45819</v>
      </c>
      <c r="C121" t="str">
        <v>CHANDRU</v>
      </c>
      <c r="D121" t="str">
        <v>Holehalli</v>
      </c>
      <c r="E121">
        <v>9449770441</v>
      </c>
      <c r="F121">
        <v>110</v>
      </c>
      <c r="G121">
        <v>6460</v>
      </c>
      <c r="H121">
        <f>G121*3/100</f>
        <v>193.8</v>
      </c>
      <c r="I121">
        <f>G121-H121</f>
        <v>6266.2</v>
      </c>
      <c r="J121">
        <v>18.8</v>
      </c>
      <c r="K121">
        <f>I121*J121</f>
        <v>117804.56</v>
      </c>
      <c r="L121">
        <f>F121*5</f>
        <v>550</v>
      </c>
      <c r="N121">
        <v>1000</v>
      </c>
      <c r="P121">
        <f>K121-L121+M121-N121-O121</f>
        <v>116254.56</v>
      </c>
      <c r="R121">
        <f>G121/F121</f>
        <v>58.72727272727273</v>
      </c>
    </row>
    <row r="122">
      <c r="A122">
        <v>112</v>
      </c>
      <c r="B122">
        <v>45819</v>
      </c>
      <c r="C122" t="str">
        <v xml:space="preserve">CHETHA TG </v>
      </c>
      <c r="D122" t="str">
        <v>HERETOGALERE</v>
      </c>
      <c r="E122">
        <v>9663545068</v>
      </c>
      <c r="F122">
        <v>120</v>
      </c>
      <c r="G122">
        <v>7075</v>
      </c>
      <c r="H122">
        <f>G122*3/100</f>
        <v>212.25</v>
      </c>
      <c r="I122">
        <f>G122-H122</f>
        <v>6862.75</v>
      </c>
      <c r="J122">
        <v>19.1</v>
      </c>
      <c r="K122">
        <f>I122*J122</f>
        <v>131078.52500000002</v>
      </c>
      <c r="L122">
        <f>F122*5</f>
        <v>600</v>
      </c>
      <c r="P122">
        <f>K122-L122+M122-N122-O122</f>
        <v>130478.52500000002</v>
      </c>
      <c r="Q122">
        <v>14224</v>
      </c>
      <c r="R122">
        <f>G122/F122</f>
        <v>58.958333333333336</v>
      </c>
    </row>
    <row r="123">
      <c r="A123">
        <v>113</v>
      </c>
      <c r="B123">
        <v>45819</v>
      </c>
      <c r="C123" t="str">
        <v>BASAVARAJ</v>
      </c>
      <c r="D123" t="str">
        <v>BELEMALURU</v>
      </c>
      <c r="E123">
        <v>8277494902</v>
      </c>
      <c r="F123">
        <v>65</v>
      </c>
      <c r="G123">
        <v>3990</v>
      </c>
      <c r="H123">
        <f>G123*3/100</f>
        <v>119.7</v>
      </c>
      <c r="I123">
        <f>G123-H123</f>
        <v>3870.3</v>
      </c>
      <c r="J123">
        <v>18.8</v>
      </c>
      <c r="K123">
        <f>I123*J123</f>
        <v>72761.64</v>
      </c>
      <c r="L123">
        <f>F123*5</f>
        <v>325</v>
      </c>
      <c r="P123">
        <f>K123-L123+M123-N123-O123</f>
        <v>72436.64</v>
      </c>
      <c r="R123">
        <f>G120/F120</f>
        <v>58.111111111111114</v>
      </c>
    </row>
    <row r="124">
      <c r="A124">
        <v>114</v>
      </c>
      <c r="B124">
        <v>45849</v>
      </c>
      <c r="C124" t="str">
        <v>THIRTANNA</v>
      </c>
      <c r="D124" t="str">
        <v>ARBGATTE</v>
      </c>
      <c r="E124">
        <v>0</v>
      </c>
      <c r="F124">
        <v>63</v>
      </c>
      <c r="G124">
        <v>3760</v>
      </c>
      <c r="H124">
        <v>0</v>
      </c>
      <c r="I124">
        <f>G124-H124</f>
        <v>3760</v>
      </c>
      <c r="J124">
        <v>19</v>
      </c>
      <c r="K124">
        <f>I124*J124</f>
        <v>71440</v>
      </c>
      <c r="L124">
        <v>0</v>
      </c>
      <c r="P124">
        <f>K124-L124+M124-N124-O124</f>
        <v>71440</v>
      </c>
      <c r="R124">
        <f>G124/F124</f>
        <v>59.682539682539684</v>
      </c>
    </row>
    <row r="125">
      <c r="A125">
        <v>115</v>
      </c>
      <c r="B125">
        <v>45849</v>
      </c>
      <c r="C125" t="str">
        <v>THIRTANNA</v>
      </c>
      <c r="D125" t="str">
        <v>ARBGATTE</v>
      </c>
      <c r="E125">
        <v>0</v>
      </c>
      <c r="F125">
        <v>160</v>
      </c>
      <c r="G125">
        <v>9630</v>
      </c>
      <c r="H125">
        <f>G125*3/100</f>
        <v>288.9</v>
      </c>
      <c r="I125">
        <f>G125-H125</f>
        <v>9341.1</v>
      </c>
      <c r="J125">
        <v>19.5</v>
      </c>
      <c r="K125">
        <f>I125*J125</f>
        <v>182151.45</v>
      </c>
      <c r="L125">
        <f>F125*5</f>
        <v>800</v>
      </c>
      <c r="P125">
        <f>K125-L125+M125-N125-O125</f>
        <v>181351.45</v>
      </c>
      <c r="R125">
        <f>G125/F125</f>
        <v>60.1875</v>
      </c>
    </row>
    <row r="126">
      <c r="A126">
        <v>116</v>
      </c>
      <c r="B126">
        <v>45849</v>
      </c>
      <c r="C126" t="str">
        <v>SUNIL</v>
      </c>
      <c r="D126" t="str">
        <v>HONNALI</v>
      </c>
      <c r="E126">
        <v>9886555269</v>
      </c>
      <c r="F126">
        <v>58</v>
      </c>
      <c r="G126">
        <v>3070</v>
      </c>
      <c r="H126">
        <f>G126*3/100</f>
        <v>92.1</v>
      </c>
      <c r="I126">
        <f>G126-H126</f>
        <v>2977.9</v>
      </c>
      <c r="J126">
        <v>18.8</v>
      </c>
      <c r="K126">
        <f>I126*J126</f>
        <v>55984.520000000004</v>
      </c>
      <c r="L126">
        <f>F126*5</f>
        <v>290</v>
      </c>
      <c r="P126">
        <f>K126-L126+M126-N126-O126</f>
        <v>55694.520000000004</v>
      </c>
      <c r="R126">
        <f>G123/F123</f>
        <v>61.38461538461539</v>
      </c>
    </row>
    <row r="127">
      <c r="A127">
        <v>117</v>
      </c>
      <c r="B127">
        <v>45849</v>
      </c>
      <c r="C127" t="str">
        <v>DADAPIR</v>
      </c>
      <c r="D127" t="str">
        <v>Holehalli</v>
      </c>
      <c r="E127">
        <v>8483676651</v>
      </c>
      <c r="F127">
        <v>44</v>
      </c>
      <c r="G127">
        <v>2690</v>
      </c>
      <c r="H127">
        <f>G127*3/100</f>
        <v>80.7</v>
      </c>
      <c r="I127">
        <f>G127-H127</f>
        <v>2609.3</v>
      </c>
      <c r="J127">
        <v>18.75</v>
      </c>
      <c r="K127">
        <f>I127*J127</f>
        <v>48924.375</v>
      </c>
      <c r="L127">
        <f>F127*5</f>
        <v>220</v>
      </c>
      <c r="P127">
        <f>K127-L127+M127-N127-O127</f>
        <v>48704.375</v>
      </c>
      <c r="R127">
        <f>G127/F127</f>
        <v>61.13636363636363</v>
      </c>
    </row>
    <row r="128">
      <c r="A128">
        <v>118</v>
      </c>
      <c r="B128">
        <v>45849</v>
      </c>
      <c r="C128" t="str">
        <v>JAYAMADIR</v>
      </c>
      <c r="D128" t="str">
        <v>HOLEHARHALLI</v>
      </c>
      <c r="E128">
        <v>8483676651</v>
      </c>
      <c r="F128">
        <v>45</v>
      </c>
      <c r="G128">
        <v>2880</v>
      </c>
      <c r="H128">
        <f>G128*3/100</f>
        <v>86.4</v>
      </c>
      <c r="I128">
        <f>G128-H128</f>
        <v>2793.6</v>
      </c>
      <c r="J128">
        <v>18.75</v>
      </c>
      <c r="K128">
        <f>I128*J128</f>
        <v>52380</v>
      </c>
      <c r="L128">
        <f>F128*5</f>
        <v>225</v>
      </c>
      <c r="N128">
        <v>2000</v>
      </c>
      <c r="P128">
        <f>K128-L128+M128-N128-O128</f>
        <v>50155</v>
      </c>
      <c r="R128">
        <f>G128/F128</f>
        <v>64</v>
      </c>
    </row>
    <row r="129">
      <c r="A129">
        <v>119</v>
      </c>
      <c r="B129">
        <v>45849</v>
      </c>
      <c r="C129" t="str">
        <v>LOHIT</v>
      </c>
      <c r="D129" t="str">
        <v>DEVARAHONNALI</v>
      </c>
      <c r="E129">
        <v>9655823220</v>
      </c>
      <c r="F129">
        <v>114</v>
      </c>
      <c r="G129">
        <v>6720</v>
      </c>
      <c r="H129">
        <f>G129*3/100</f>
        <v>201.6</v>
      </c>
      <c r="I129">
        <f>G129-H129</f>
        <v>6518.4</v>
      </c>
      <c r="J129">
        <v>18.8</v>
      </c>
      <c r="K129">
        <f>I129*J129</f>
        <v>122545.92</v>
      </c>
      <c r="L129">
        <f>F129*5</f>
        <v>570</v>
      </c>
      <c r="P129">
        <f>K129-L129+M129-N129-O129</f>
        <v>121975.92</v>
      </c>
      <c r="R129">
        <f>G126/F126</f>
        <v>52.93103448275862</v>
      </c>
    </row>
    <row r="130">
      <c r="A130">
        <v>120</v>
      </c>
      <c r="B130">
        <v>45849</v>
      </c>
      <c r="C130" t="str">
        <v>BEERAPPA</v>
      </c>
      <c r="D130" t="str">
        <v>BELEMALURU</v>
      </c>
      <c r="E130">
        <v>9741684938</v>
      </c>
      <c r="F130">
        <v>48</v>
      </c>
      <c r="G130">
        <v>2870</v>
      </c>
      <c r="H130">
        <f>G130*3/100</f>
        <v>86.1</v>
      </c>
      <c r="I130">
        <f>G130-H130</f>
        <v>2783.9</v>
      </c>
      <c r="J130">
        <v>18.8</v>
      </c>
      <c r="K130">
        <f>I130*J130</f>
        <v>52337.32000000001</v>
      </c>
      <c r="L130">
        <f>F130*5</f>
        <v>240</v>
      </c>
      <c r="P130">
        <f>K130-L130+M130-N130-O130</f>
        <v>52097.32000000001</v>
      </c>
      <c r="R130">
        <f>G130/F130</f>
        <v>59.791666666666664</v>
      </c>
    </row>
    <row r="131">
      <c r="A131">
        <v>121</v>
      </c>
      <c r="B131">
        <v>45849</v>
      </c>
      <c r="C131" t="str">
        <v>MAHESHVARAPPA</v>
      </c>
      <c r="D131" t="str">
        <v>BELEMALURU</v>
      </c>
      <c r="E131">
        <v>9008947174</v>
      </c>
      <c r="F131">
        <v>110</v>
      </c>
      <c r="G131">
        <v>6400</v>
      </c>
      <c r="H131">
        <f>G131*3/100</f>
        <v>192</v>
      </c>
      <c r="I131">
        <f>G131-H131</f>
        <v>6208</v>
      </c>
      <c r="J131">
        <v>18.75</v>
      </c>
      <c r="K131">
        <f>I131*J131</f>
        <v>116400</v>
      </c>
      <c r="L131">
        <f>F131*5</f>
        <v>550</v>
      </c>
      <c r="P131">
        <f>K131-L131+M131-N131-O131</f>
        <v>115850</v>
      </c>
      <c r="R131">
        <f>G131/F131</f>
        <v>58.18181818181818</v>
      </c>
    </row>
    <row r="132">
      <c r="A132">
        <v>122</v>
      </c>
      <c r="B132">
        <v>45849</v>
      </c>
      <c r="C132" t="str">
        <v>CHANDRAPPA</v>
      </c>
      <c r="D132" t="str">
        <v>HOLEHARHALLI</v>
      </c>
      <c r="E132">
        <v>9008022388</v>
      </c>
      <c r="F132">
        <v>73</v>
      </c>
      <c r="G132">
        <v>4330</v>
      </c>
      <c r="H132">
        <f>G132*3/100</f>
        <v>129.9</v>
      </c>
      <c r="I132">
        <f>G132-H132</f>
        <v>4200.1</v>
      </c>
      <c r="J132">
        <v>18.8</v>
      </c>
      <c r="K132">
        <f>I132*J132</f>
        <v>78961.88</v>
      </c>
      <c r="L132">
        <f>F132*5</f>
        <v>365</v>
      </c>
      <c r="P132">
        <f>K132-L132+M132-N132-O132</f>
        <v>78596.88</v>
      </c>
      <c r="R132">
        <f>G132/F132</f>
        <v>59.31506849315068</v>
      </c>
    </row>
    <row r="133">
      <c r="A133">
        <v>123</v>
      </c>
      <c r="B133">
        <v>45849</v>
      </c>
      <c r="C133" t="str">
        <v>MAHABABU</v>
      </c>
      <c r="D133" t="str">
        <v>HOLEHARHALLI</v>
      </c>
      <c r="E133">
        <v>8792504784</v>
      </c>
      <c r="F133">
        <v>45</v>
      </c>
      <c r="G133">
        <v>2690</v>
      </c>
      <c r="H133">
        <f>G133*3/100</f>
        <v>80.7</v>
      </c>
      <c r="I133">
        <f>G133-H133</f>
        <v>2609.3</v>
      </c>
      <c r="J133">
        <v>18.8</v>
      </c>
      <c r="K133">
        <f>I133*J133</f>
        <v>49054.840000000004</v>
      </c>
      <c r="L133">
        <f>F133*5</f>
        <v>225</v>
      </c>
      <c r="P133">
        <f>K133-L133+M133-N133-O133</f>
        <v>48829.840000000004</v>
      </c>
      <c r="R133">
        <f>G133/F133</f>
        <v>59.77777777777778</v>
      </c>
    </row>
    <row r="134">
      <c r="A134">
        <v>124</v>
      </c>
      <c r="B134">
        <v>45880</v>
      </c>
      <c r="C134" t="str">
        <v>GANESH</v>
      </c>
      <c r="D134" t="str">
        <v>BALESHWARA</v>
      </c>
      <c r="E134">
        <v>0</v>
      </c>
      <c r="F134">
        <v>7</v>
      </c>
      <c r="G134">
        <v>832</v>
      </c>
      <c r="H134">
        <f>G134*3/100</f>
        <v>24.96</v>
      </c>
      <c r="I134">
        <f>G134-H134</f>
        <v>807.04</v>
      </c>
      <c r="J134">
        <v>18.5</v>
      </c>
      <c r="K134">
        <f>I134*J134</f>
        <v>14930.24</v>
      </c>
      <c r="L134">
        <f>F134*5</f>
        <v>35</v>
      </c>
      <c r="N134">
        <v>1000</v>
      </c>
      <c r="P134">
        <f>K134-L134+M134-N134-O134</f>
        <v>13895.24</v>
      </c>
      <c r="R134">
        <f>G134/F134</f>
        <v>118.85714285714286</v>
      </c>
    </row>
    <row r="135">
      <c r="A135">
        <v>125</v>
      </c>
      <c r="B135">
        <v>45880</v>
      </c>
      <c r="C135" t="str">
        <v>RAJSHEKAR</v>
      </c>
      <c r="D135" t="str">
        <v>BALESHWARA</v>
      </c>
      <c r="E135">
        <v>8496007452</v>
      </c>
      <c r="F135">
        <v>7</v>
      </c>
      <c r="G135">
        <v>733</v>
      </c>
      <c r="H135">
        <f>G135*3/100</f>
        <v>21.99</v>
      </c>
      <c r="I135">
        <f>G135-H135</f>
        <v>711.01</v>
      </c>
      <c r="J135">
        <v>18.5</v>
      </c>
      <c r="K135">
        <f>I135*J135</f>
        <v>13153.685</v>
      </c>
      <c r="L135">
        <f>F135*5</f>
        <v>35</v>
      </c>
      <c r="N135">
        <v>500</v>
      </c>
      <c r="P135">
        <f>K135-L135+M135-N135-O135</f>
        <v>12618.685</v>
      </c>
      <c r="R135">
        <f>G135/F135</f>
        <v>104.71428571428571</v>
      </c>
    </row>
    <row r="136">
      <c r="A136">
        <v>126</v>
      </c>
      <c r="B136">
        <v>45880</v>
      </c>
      <c r="C136" t="str">
        <v>NARAYANA</v>
      </c>
      <c r="D136" t="str">
        <v>SOLTURU</v>
      </c>
      <c r="E136">
        <v>8660645496</v>
      </c>
      <c r="F136">
        <v>118</v>
      </c>
      <c r="G136">
        <v>7000</v>
      </c>
      <c r="H136">
        <f>G136*3/100</f>
        <v>210</v>
      </c>
      <c r="I136">
        <f>G136-H136</f>
        <v>6790</v>
      </c>
      <c r="J136">
        <v>18.55</v>
      </c>
      <c r="K136">
        <f>I136*J136</f>
        <v>125954.5</v>
      </c>
      <c r="L136">
        <f>F136*5</f>
        <v>590</v>
      </c>
      <c r="P136">
        <f>K136-L136+M136-N136-O136</f>
        <v>125364.5</v>
      </c>
      <c r="R136">
        <f>G136/F136</f>
        <v>59.32203389830509</v>
      </c>
    </row>
    <row r="137">
      <c r="A137">
        <v>127</v>
      </c>
      <c r="B137">
        <v>45880</v>
      </c>
      <c r="C137" t="str">
        <v>MANJUNNA</v>
      </c>
      <c r="D137" t="str">
        <v>HEREKABAR</v>
      </c>
      <c r="E137">
        <v>6361267380</v>
      </c>
      <c r="F137">
        <v>99</v>
      </c>
      <c r="G137">
        <v>5710</v>
      </c>
      <c r="H137">
        <f>G137*3/100</f>
        <v>171.3</v>
      </c>
      <c r="I137">
        <f>G137-H137</f>
        <v>5538.7</v>
      </c>
      <c r="J137">
        <v>18.25</v>
      </c>
      <c r="K137">
        <f>I137*J137</f>
        <v>101081.275</v>
      </c>
      <c r="L137">
        <f>F137*5</f>
        <v>495</v>
      </c>
      <c r="P137">
        <f>K137-L137+M137-N137-O137</f>
        <v>100586.275</v>
      </c>
      <c r="R137">
        <f>G137/F137</f>
        <v>57.676767676767675</v>
      </c>
    </row>
    <row r="138">
      <c r="A138">
        <v>128</v>
      </c>
      <c r="B138">
        <v>45880</v>
      </c>
      <c r="C138" t="str">
        <v>Halesha</v>
      </c>
      <c r="D138" t="str">
        <v>BELEMALURU</v>
      </c>
      <c r="E138">
        <v>7348906904</v>
      </c>
      <c r="F138">
        <v>38</v>
      </c>
      <c r="G138">
        <v>2200</v>
      </c>
      <c r="H138">
        <f>G138*3/100</f>
        <v>66</v>
      </c>
      <c r="I138">
        <f>G138-H138</f>
        <v>2134</v>
      </c>
      <c r="J138">
        <v>18.55</v>
      </c>
      <c r="K138">
        <f>I138*J138</f>
        <v>39585.700000000004</v>
      </c>
      <c r="L138">
        <f>F138*5</f>
        <v>190</v>
      </c>
      <c r="P138">
        <f>K138-L138+M138-N138-O138</f>
        <v>39395.700000000004</v>
      </c>
      <c r="R138">
        <f>G138/F138</f>
        <v>57.89473684210526</v>
      </c>
    </row>
    <row r="139">
      <c r="A139">
        <v>129</v>
      </c>
      <c r="B139">
        <v>45911</v>
      </c>
      <c r="C139" t="str">
        <v>SHIVA NAYAK</v>
      </c>
      <c r="D139" t="str">
        <v>HANUSAGARA</v>
      </c>
      <c r="E139">
        <v>9740658639</v>
      </c>
      <c r="F139">
        <v>18</v>
      </c>
      <c r="G139">
        <v>1030</v>
      </c>
      <c r="H139">
        <f>G139*3/100</f>
        <v>30.9</v>
      </c>
      <c r="I139">
        <f>G139-H139</f>
        <v>999.1</v>
      </c>
      <c r="J139">
        <v>18.1</v>
      </c>
      <c r="K139">
        <f>I139*J139</f>
        <v>18083.710000000003</v>
      </c>
      <c r="L139">
        <f>F139*5</f>
        <v>90</v>
      </c>
      <c r="P139">
        <f>K139-L139+M139-N139-O139</f>
        <v>17993.710000000003</v>
      </c>
      <c r="R139">
        <f>G139/F139</f>
        <v>57.22222222222222</v>
      </c>
    </row>
    <row r="140">
      <c r="A140">
        <v>130</v>
      </c>
      <c r="B140">
        <v>45911</v>
      </c>
      <c r="C140" t="str">
        <v>HONAMMA</v>
      </c>
      <c r="D140" t="str">
        <v>HONAMMA</v>
      </c>
      <c r="E140">
        <v>964188009</v>
      </c>
      <c r="F140">
        <v>130</v>
      </c>
      <c r="G140">
        <v>7460</v>
      </c>
      <c r="H140">
        <f>G140*3/100</f>
        <v>223.8</v>
      </c>
      <c r="I140">
        <f>G140-H140</f>
        <v>7236.2</v>
      </c>
      <c r="J140">
        <v>18.6</v>
      </c>
      <c r="K140">
        <f>I140*J140</f>
        <v>134593.32</v>
      </c>
      <c r="L140">
        <f>F140*5</f>
        <v>650</v>
      </c>
      <c r="P140">
        <f>K140-L140+M140-N140-O140</f>
        <v>133943.32</v>
      </c>
      <c r="R140">
        <f>G140/F140</f>
        <v>57.38461538461539</v>
      </c>
    </row>
    <row r="141">
      <c r="A141">
        <v>131</v>
      </c>
      <c r="B141">
        <v>45911</v>
      </c>
      <c r="C141" t="str">
        <v>CHANDRASHEKARA</v>
      </c>
      <c r="D141" t="str">
        <v>HALEHALLI</v>
      </c>
      <c r="E141">
        <v>6366205819</v>
      </c>
      <c r="F141">
        <v>35</v>
      </c>
      <c r="G141">
        <v>1950</v>
      </c>
      <c r="H141">
        <f>G141*3/100</f>
        <v>58.5</v>
      </c>
      <c r="I141">
        <f>G141-H141</f>
        <v>1891.5</v>
      </c>
      <c r="J141">
        <v>18.7</v>
      </c>
      <c r="K141">
        <f>I141*J141</f>
        <v>35371.049999999996</v>
      </c>
      <c r="L141">
        <f>F141*5</f>
        <v>175</v>
      </c>
      <c r="N141">
        <v>2000</v>
      </c>
      <c r="P141">
        <f>K141-L141+M141-N141-O141</f>
        <v>33196.049999999996</v>
      </c>
      <c r="R141">
        <f>G141/F141</f>
        <v>55.714285714285715</v>
      </c>
    </row>
    <row r="142">
      <c r="A142">
        <v>132</v>
      </c>
      <c r="B142">
        <v>45911</v>
      </c>
      <c r="C142" t="str">
        <v>PRAKASH</v>
      </c>
      <c r="D142" t="str">
        <v>DVRHHNL</v>
      </c>
      <c r="E142">
        <v>9731212441</v>
      </c>
      <c r="F142">
        <v>93</v>
      </c>
      <c r="G142">
        <v>5350</v>
      </c>
      <c r="H142">
        <f>G142*3/100</f>
        <v>160.5</v>
      </c>
      <c r="I142">
        <f>G142-H142</f>
        <v>5189.5</v>
      </c>
      <c r="J142">
        <v>18.6</v>
      </c>
      <c r="K142">
        <f>I142*J142</f>
        <v>96524.70000000001</v>
      </c>
      <c r="L142">
        <f>F142*5</f>
        <v>465</v>
      </c>
      <c r="P142">
        <f>K142-L142+M142-N142-O142</f>
        <v>96059.70000000001</v>
      </c>
      <c r="R142">
        <f>G142/F142</f>
        <v>57.526881720430104</v>
      </c>
    </row>
    <row r="143">
      <c r="A143">
        <v>133</v>
      </c>
      <c r="B143">
        <v>45911</v>
      </c>
      <c r="C143" t="str">
        <v>SRENEVAS</v>
      </c>
      <c r="D143" t="str">
        <v>DVRHHNL</v>
      </c>
      <c r="E143">
        <v>9663630240</v>
      </c>
      <c r="F143">
        <v>65</v>
      </c>
      <c r="G143">
        <v>3830</v>
      </c>
      <c r="H143">
        <f>G143*3/100</f>
        <v>114.9</v>
      </c>
      <c r="I143">
        <f>G143-H143</f>
        <v>3715.1</v>
      </c>
      <c r="J143">
        <v>18.6</v>
      </c>
      <c r="K143">
        <f>I143*J143</f>
        <v>69100.86</v>
      </c>
      <c r="L143">
        <f>F143*5</f>
        <v>325</v>
      </c>
      <c r="P143">
        <f>K143-L143+M143-N143-O143</f>
        <v>68775.86</v>
      </c>
      <c r="R143">
        <f>G143/F143</f>
        <v>58.92307692307692</v>
      </c>
    </row>
    <row r="144">
      <c r="A144">
        <v>134</v>
      </c>
      <c r="B144">
        <v>45911</v>
      </c>
      <c r="C144" t="str">
        <v>KENCHAPPA</v>
      </c>
      <c r="D144" t="str">
        <v>HONNALI</v>
      </c>
      <c r="E144">
        <v>8095385132</v>
      </c>
      <c r="F144">
        <v>12</v>
      </c>
      <c r="G144">
        <v>710</v>
      </c>
      <c r="H144">
        <f>G144*3/100</f>
        <v>21.3</v>
      </c>
      <c r="I144">
        <f>G144-H144</f>
        <v>688.7</v>
      </c>
      <c r="J144">
        <v>18.6</v>
      </c>
      <c r="K144">
        <f>I144*J144</f>
        <v>12809.820000000002</v>
      </c>
      <c r="L144">
        <f>F144*5</f>
        <v>60</v>
      </c>
      <c r="P144">
        <f>K144-L144+M144-N144-O144</f>
        <v>12749.820000000002</v>
      </c>
      <c r="R144">
        <f>G139/F139</f>
        <v>57.22222222222222</v>
      </c>
    </row>
    <row r="145">
      <c r="A145">
        <v>135</v>
      </c>
      <c r="B145">
        <v>45911</v>
      </c>
      <c r="C145" t="str">
        <v>MALIKA</v>
      </c>
      <c r="D145" t="str">
        <v>BALMURI</v>
      </c>
      <c r="E145">
        <v>9731464788</v>
      </c>
      <c r="F145">
        <v>22</v>
      </c>
      <c r="G145">
        <v>1360</v>
      </c>
      <c r="H145">
        <f>G145*3/100</f>
        <v>40.8</v>
      </c>
      <c r="I145">
        <f>G145-H145</f>
        <v>1319.2</v>
      </c>
      <c r="J145">
        <v>18.3</v>
      </c>
      <c r="K145">
        <f>I145*J145</f>
        <v>24141.36</v>
      </c>
      <c r="L145">
        <f>F145*5</f>
        <v>110</v>
      </c>
      <c r="P145">
        <f>K145-L145+M145-N145-O145</f>
        <v>24031.36</v>
      </c>
      <c r="R145">
        <f>G145/F144</f>
        <v>113.33333333333333</v>
      </c>
    </row>
    <row r="146">
      <c r="A146">
        <v>136</v>
      </c>
      <c r="B146">
        <v>45941</v>
      </c>
      <c r="C146" t="str">
        <v>CHANDAPPA</v>
      </c>
      <c r="D146" t="str">
        <v>BELEMALURU</v>
      </c>
      <c r="E146">
        <v>8792554140</v>
      </c>
      <c r="F146">
        <v>117</v>
      </c>
      <c r="G146">
        <v>6810</v>
      </c>
      <c r="H146">
        <f>G146*3/100</f>
        <v>204.3</v>
      </c>
      <c r="I146">
        <f>G146-H146</f>
        <v>6605.7</v>
      </c>
      <c r="J146">
        <v>18.85</v>
      </c>
      <c r="K146">
        <f>I146*J146</f>
        <v>124517.445</v>
      </c>
      <c r="L146">
        <f>F146*5</f>
        <v>585</v>
      </c>
      <c r="N146">
        <v>100</v>
      </c>
      <c r="P146">
        <f>K146-L146+M146-N146-O146</f>
        <v>123832.445</v>
      </c>
      <c r="R146">
        <f>G146/F145</f>
        <v>309.54545454545456</v>
      </c>
    </row>
    <row r="147">
      <c r="A147">
        <v>137</v>
      </c>
      <c r="B147">
        <v>45941</v>
      </c>
      <c r="C147" t="str">
        <v>MAHESH</v>
      </c>
      <c r="D147" t="str">
        <v>BELEMALURU</v>
      </c>
      <c r="E147">
        <v>9148936103</v>
      </c>
      <c r="F147">
        <v>28</v>
      </c>
      <c r="G147">
        <v>1610</v>
      </c>
      <c r="H147">
        <f>G147*3/100</f>
        <v>48.3</v>
      </c>
      <c r="I147">
        <f>G147-H147</f>
        <v>1561.7</v>
      </c>
      <c r="J147">
        <v>18.6</v>
      </c>
      <c r="K147">
        <f>I147*J147</f>
        <v>29047.620000000003</v>
      </c>
      <c r="L147">
        <f>F147*5</f>
        <v>140</v>
      </c>
      <c r="P147">
        <f>K147-L147+M147-N147-O147</f>
        <v>28907.620000000003</v>
      </c>
      <c r="R147">
        <f>G147/F147</f>
        <v>57.5</v>
      </c>
    </row>
    <row r="148">
      <c r="A148">
        <v>138</v>
      </c>
      <c r="B148">
        <v>45941</v>
      </c>
      <c r="C148" t="str">
        <v>RAMESH</v>
      </c>
      <c r="D148" t="str">
        <v>DEVARAHONNALI</v>
      </c>
      <c r="E148">
        <v>900381441</v>
      </c>
      <c r="F148">
        <v>62</v>
      </c>
      <c r="G148">
        <v>3690</v>
      </c>
      <c r="H148">
        <f>G148*3/100</f>
        <v>110.7</v>
      </c>
      <c r="I148">
        <f>G148-H148</f>
        <v>3579.3</v>
      </c>
      <c r="J148">
        <v>18</v>
      </c>
      <c r="K148">
        <f>I148*J148</f>
        <v>64427.4</v>
      </c>
      <c r="L148">
        <f>F148*5</f>
        <v>310</v>
      </c>
      <c r="P148">
        <f>K148-L148+M148-N148-O148</f>
        <v>64117.4</v>
      </c>
      <c r="R148">
        <f>G148/F148</f>
        <v>59.516129032258064</v>
      </c>
    </row>
    <row r="149">
      <c r="A149">
        <v>139</v>
      </c>
      <c r="B149">
        <v>45941</v>
      </c>
      <c r="C149" t="str">
        <v>CHANAPPA</v>
      </c>
      <c r="D149" t="str">
        <v>DEVARAHONNALI</v>
      </c>
      <c r="E149">
        <v>9901672408</v>
      </c>
      <c r="F149">
        <v>21</v>
      </c>
      <c r="G149">
        <v>1230</v>
      </c>
      <c r="H149">
        <f>G149*3/100</f>
        <v>36.9</v>
      </c>
      <c r="I149">
        <f>G149-H149</f>
        <v>1193.1</v>
      </c>
      <c r="J149">
        <v>18.3</v>
      </c>
      <c r="K149">
        <f>I149*J149</f>
        <v>21833.73</v>
      </c>
      <c r="L149">
        <f>F149*5</f>
        <v>105</v>
      </c>
      <c r="P149">
        <f>K149-L149+M149-N149-O149</f>
        <v>21728.73</v>
      </c>
      <c r="R149">
        <f>G149/F149</f>
        <v>58.57142857142857</v>
      </c>
    </row>
    <row r="150">
      <c r="A150">
        <v>140</v>
      </c>
      <c r="B150">
        <v>45941</v>
      </c>
      <c r="C150" t="str">
        <v>AJITH KUMAR</v>
      </c>
      <c r="D150" t="str">
        <v>BALESHWARA</v>
      </c>
      <c r="E150">
        <v>8105884429</v>
      </c>
      <c r="F150">
        <v>29</v>
      </c>
      <c r="G150">
        <v>1640</v>
      </c>
      <c r="H150">
        <f>G150*3/100</f>
        <v>49.2</v>
      </c>
      <c r="I150">
        <f>G150-H150</f>
        <v>1590.8</v>
      </c>
      <c r="J150">
        <v>18.65</v>
      </c>
      <c r="K150">
        <f>I150*J150</f>
        <v>29668.42</v>
      </c>
      <c r="L150">
        <f>F150*5</f>
        <v>145</v>
      </c>
      <c r="N150">
        <v>1000</v>
      </c>
      <c r="P150">
        <f>K150-L150+M150-N150-O150</f>
        <v>28523.42</v>
      </c>
      <c r="R150">
        <f>G150/F150</f>
        <v>56.55172413793103</v>
      </c>
    </row>
    <row r="151">
      <c r="A151">
        <v>141</v>
      </c>
      <c r="B151">
        <v>45941</v>
      </c>
      <c r="C151" t="str">
        <v>PRABUNSTH</v>
      </c>
      <c r="D151" t="str">
        <v>BELEMALURU</v>
      </c>
      <c r="E151">
        <v>914306979</v>
      </c>
      <c r="F151">
        <v>69</v>
      </c>
      <c r="G151">
        <v>4050</v>
      </c>
      <c r="H151">
        <f>G151*3/100</f>
        <v>121.5</v>
      </c>
      <c r="I151">
        <f>G151-H151</f>
        <v>3928.5</v>
      </c>
      <c r="J151">
        <v>18.7</v>
      </c>
      <c r="K151">
        <f>I151*J151</f>
        <v>73462.95</v>
      </c>
      <c r="L151">
        <f>F151*5</f>
        <v>345</v>
      </c>
      <c r="P151">
        <f>K151-L151+M151-N151-O151</f>
        <v>73117.95</v>
      </c>
      <c r="R151">
        <f>G151/F151</f>
        <v>58.69565217391305</v>
      </c>
    </row>
    <row r="152">
      <c r="A152">
        <v>142</v>
      </c>
      <c r="B152">
        <v>45941</v>
      </c>
      <c r="C152" t="str">
        <v>CHETHAN</v>
      </c>
      <c r="D152" t="str">
        <v>DIDGURU</v>
      </c>
      <c r="E152">
        <v>7676781491</v>
      </c>
      <c r="F152">
        <v>64</v>
      </c>
      <c r="G152">
        <v>3720</v>
      </c>
      <c r="H152">
        <f>G152*3/100</f>
        <v>111.6</v>
      </c>
      <c r="I152">
        <f>G152-H152</f>
        <v>3608.4</v>
      </c>
      <c r="J152">
        <v>18.3</v>
      </c>
      <c r="K152">
        <f>I152*J152</f>
        <v>66033.72</v>
      </c>
      <c r="L152">
        <f>F152*5</f>
        <v>320</v>
      </c>
      <c r="P152">
        <f>K152-L152+M152-N152-O152</f>
        <v>65713.72</v>
      </c>
      <c r="R152">
        <f>G152/F152</f>
        <v>58.125</v>
      </c>
    </row>
    <row r="153">
      <c r="A153">
        <v>143</v>
      </c>
      <c r="B153">
        <v>45972</v>
      </c>
      <c r="C153" t="str">
        <v>SANTOS NAIK</v>
      </c>
      <c r="D153" t="str">
        <v>Kotemaluru</v>
      </c>
      <c r="E153">
        <v>9481515119</v>
      </c>
      <c r="F153">
        <v>134</v>
      </c>
      <c r="G153">
        <v>7700</v>
      </c>
      <c r="H153">
        <f>G153*3/100</f>
        <v>231</v>
      </c>
      <c r="I153">
        <f>G153-H153</f>
        <v>7469</v>
      </c>
      <c r="J153">
        <v>18.3</v>
      </c>
      <c r="K153">
        <f>I153*J153</f>
        <v>136682.7</v>
      </c>
      <c r="L153">
        <f>F153*5</f>
        <v>670</v>
      </c>
      <c r="P153">
        <f>K153-L153+M153-N153-O153</f>
        <v>136012.7</v>
      </c>
      <c r="R153">
        <f>G153/F153</f>
        <v>57.46268656716418</v>
      </c>
    </row>
    <row r="154">
      <c r="A154">
        <v>144</v>
      </c>
      <c r="B154">
        <v>45972</v>
      </c>
      <c r="C154" t="str">
        <v>HALESH</v>
      </c>
      <c r="D154" t="str">
        <v>KONAYAKAHALLI</v>
      </c>
      <c r="E154">
        <v>7676163290</v>
      </c>
      <c r="F154">
        <v>39</v>
      </c>
      <c r="G154">
        <v>2240</v>
      </c>
      <c r="H154">
        <f>G154*3/100</f>
        <v>67.2</v>
      </c>
      <c r="I154">
        <f>G154-H154</f>
        <v>2172.8</v>
      </c>
      <c r="J154">
        <v>18.2</v>
      </c>
      <c r="K154">
        <f>I154*J154</f>
        <v>39544.96</v>
      </c>
      <c r="L154">
        <f>F154*5</f>
        <v>195</v>
      </c>
      <c r="P154">
        <f>K154-L154+M154-N154-O154</f>
        <v>39349.96</v>
      </c>
      <c r="R154">
        <f>G187/F187</f>
        <v>59.25925925925926</v>
      </c>
    </row>
    <row r="155">
      <c r="A155">
        <v>145</v>
      </c>
      <c r="B155">
        <v>45972</v>
      </c>
      <c r="C155" t="str">
        <v>CHINU</v>
      </c>
      <c r="D155" t="str">
        <v>KONAKHALLI</v>
      </c>
      <c r="E155">
        <v>7337746363</v>
      </c>
      <c r="F155">
        <v>47</v>
      </c>
      <c r="G155">
        <v>2710</v>
      </c>
      <c r="H155">
        <f>G155*3/100</f>
        <v>81.3</v>
      </c>
      <c r="I155">
        <f>G155-H155</f>
        <v>2628.7</v>
      </c>
      <c r="J155">
        <v>18.2</v>
      </c>
      <c r="K155">
        <f>I155*J155</f>
        <v>47842.34</v>
      </c>
      <c r="L155">
        <f>F155*5</f>
        <v>235</v>
      </c>
      <c r="P155">
        <f>K155-L155+M155-N155-O155</f>
        <v>47607.34</v>
      </c>
      <c r="R155">
        <f>G155/F155</f>
        <v>57.659574468085104</v>
      </c>
    </row>
    <row r="156">
      <c r="A156">
        <v>146</v>
      </c>
      <c r="B156">
        <v>45972</v>
      </c>
      <c r="C156" t="str">
        <v>RAVI</v>
      </c>
      <c r="D156" t="str">
        <v>BELEMALURU</v>
      </c>
      <c r="E156">
        <v>6361708249</v>
      </c>
      <c r="F156">
        <v>51</v>
      </c>
      <c r="G156">
        <v>2900</v>
      </c>
      <c r="H156">
        <f>G156*3/100</f>
        <v>87</v>
      </c>
      <c r="I156">
        <f>G156-H156</f>
        <v>2813</v>
      </c>
      <c r="J156">
        <v>18.65</v>
      </c>
      <c r="K156">
        <f>I156*J156</f>
        <v>52462.45</v>
      </c>
      <c r="L156">
        <f>F156*5</f>
        <v>255</v>
      </c>
      <c r="N156">
        <v>200</v>
      </c>
      <c r="P156">
        <f>K156-L156+M156-N156-O156</f>
        <v>52007.45</v>
      </c>
      <c r="R156">
        <f>G156/F156</f>
        <v>56.86274509803921</v>
      </c>
    </row>
    <row r="157">
      <c r="A157">
        <v>147</v>
      </c>
      <c r="B157">
        <v>45972</v>
      </c>
      <c r="C157" t="str">
        <v>NAGRAJ</v>
      </c>
      <c r="D157" t="str">
        <v>HONNALI</v>
      </c>
      <c r="E157">
        <v>9880777370</v>
      </c>
      <c r="F157">
        <v>20</v>
      </c>
      <c r="G157">
        <v>1174</v>
      </c>
      <c r="H157">
        <f>G157*3/100</f>
        <v>35.22</v>
      </c>
      <c r="I157">
        <f>G157-H157</f>
        <v>1138.78</v>
      </c>
      <c r="J157">
        <v>18.6</v>
      </c>
      <c r="K157">
        <f>I157*J157</f>
        <v>21181.308</v>
      </c>
      <c r="L157">
        <f>F157*5</f>
        <v>100</v>
      </c>
      <c r="P157">
        <f>K157-L157+M157-N157-O157</f>
        <v>21081.308</v>
      </c>
      <c r="R157">
        <f>G157/F157</f>
        <v>58.7</v>
      </c>
    </row>
    <row r="158">
      <c r="A158">
        <v>148</v>
      </c>
      <c r="B158">
        <v>45972</v>
      </c>
      <c r="C158" t="str">
        <v>GIRISH</v>
      </c>
      <c r="D158" t="str">
        <v>BELEMALURU</v>
      </c>
      <c r="E158">
        <v>8217590970</v>
      </c>
      <c r="F158">
        <v>86</v>
      </c>
      <c r="G158">
        <v>5060</v>
      </c>
      <c r="H158">
        <f>G158*3/100</f>
        <v>151.8</v>
      </c>
      <c r="I158">
        <f>G158-H158</f>
        <v>4908.2</v>
      </c>
      <c r="J158">
        <v>18.8</v>
      </c>
      <c r="K158">
        <f>I158*J158</f>
        <v>92274.16</v>
      </c>
      <c r="L158">
        <f>F158*5</f>
        <v>430</v>
      </c>
      <c r="P158">
        <f>K158-L158+M158-N158-O158</f>
        <v>91844.16</v>
      </c>
      <c r="R158">
        <f>G158/F158</f>
        <v>58.83720930232558</v>
      </c>
    </row>
    <row r="159">
      <c r="A159">
        <v>149</v>
      </c>
      <c r="B159">
        <v>45972</v>
      </c>
      <c r="C159" t="str">
        <v>LAXMIKANTANNA</v>
      </c>
      <c r="D159" t="str">
        <v>DEVARAHONNALI</v>
      </c>
      <c r="E159">
        <v>9277414465</v>
      </c>
      <c r="F159">
        <v>25</v>
      </c>
      <c r="G159">
        <v>1400</v>
      </c>
      <c r="H159">
        <f>G159*3/100</f>
        <v>42</v>
      </c>
      <c r="I159">
        <f>G159-H159</f>
        <v>1358</v>
      </c>
      <c r="J159">
        <v>18</v>
      </c>
      <c r="K159">
        <f>I159*J159</f>
        <v>24444</v>
      </c>
      <c r="L159">
        <f>F159*5</f>
        <v>125</v>
      </c>
      <c r="P159">
        <f>K159-L159+M159-N159-O159</f>
        <v>24319</v>
      </c>
      <c r="R159">
        <f>G159/F159</f>
        <v>56</v>
      </c>
    </row>
    <row r="160">
      <c r="A160">
        <v>150</v>
      </c>
      <c r="B160">
        <v>45972</v>
      </c>
      <c r="C160" t="str">
        <v>KRISHANAPPA</v>
      </c>
      <c r="D160" t="str">
        <v>DEVARAHONNALI</v>
      </c>
      <c r="E160">
        <v>9908203497</v>
      </c>
      <c r="F160">
        <v>34</v>
      </c>
      <c r="G160">
        <v>1950</v>
      </c>
      <c r="H160">
        <f>G160*3/100</f>
        <v>58.5</v>
      </c>
      <c r="I160">
        <f>G160-H160</f>
        <v>1891.5</v>
      </c>
      <c r="J160">
        <v>17.5</v>
      </c>
      <c r="K160">
        <f>I160*J160</f>
        <v>33101.25</v>
      </c>
      <c r="L160">
        <f>F160*5</f>
        <v>170</v>
      </c>
      <c r="P160">
        <f>K160-L160+M160-N160-O160</f>
        <v>32931.25</v>
      </c>
      <c r="R160">
        <f>G160/F160</f>
        <v>57.35294117647059</v>
      </c>
    </row>
    <row r="161">
      <c r="A161">
        <v>151</v>
      </c>
      <c r="B161">
        <v>46002</v>
      </c>
      <c r="C161" t="str">
        <v>HARISH</v>
      </c>
      <c r="D161" t="str">
        <v>KONAKHALLI</v>
      </c>
      <c r="F161">
        <v>80</v>
      </c>
      <c r="G161">
        <v>4720</v>
      </c>
      <c r="H161">
        <f>G161*3/100</f>
        <v>141.6</v>
      </c>
      <c r="I161">
        <f>G161-H161</f>
        <v>4578.4</v>
      </c>
      <c r="J161">
        <v>18.4</v>
      </c>
      <c r="K161">
        <f>I161*J161</f>
        <v>84242.55999999998</v>
      </c>
      <c r="L161">
        <f>F162*5</f>
        <v>100</v>
      </c>
      <c r="P161">
        <f>K161-L161+M161-N161-O161</f>
        <v>84142.55999999998</v>
      </c>
      <c r="R161">
        <f>G161/F161</f>
        <v>59</v>
      </c>
    </row>
    <row r="162">
      <c r="A162">
        <v>152</v>
      </c>
      <c r="B162">
        <v>46002</v>
      </c>
      <c r="C162" t="str">
        <v>Hanumantappa</v>
      </c>
      <c r="D162" t="str">
        <v>BELRMALURU</v>
      </c>
      <c r="E162">
        <v>8197101828</v>
      </c>
      <c r="F162">
        <v>20</v>
      </c>
      <c r="G162">
        <v>1150</v>
      </c>
      <c r="H162">
        <f>G162*3/100</f>
        <v>34.5</v>
      </c>
      <c r="I162">
        <f>G162-H162</f>
        <v>1115.5</v>
      </c>
      <c r="J162">
        <v>18.65</v>
      </c>
      <c r="K162">
        <f>I162*J162</f>
        <v>20804.074999999997</v>
      </c>
      <c r="L162">
        <f>F163*5</f>
        <v>200</v>
      </c>
      <c r="P162">
        <f>K162-L162+M162-N162-O162</f>
        <v>20604.074999999997</v>
      </c>
      <c r="R162">
        <f>G162/F162</f>
        <v>57.5</v>
      </c>
    </row>
    <row r="163">
      <c r="A163">
        <v>153</v>
      </c>
      <c r="B163">
        <v>46002</v>
      </c>
      <c r="C163" t="str">
        <v>KRISHANAPPA</v>
      </c>
      <c r="D163" t="str">
        <v>HOLEMADAPURA</v>
      </c>
      <c r="E163">
        <v>9945953327</v>
      </c>
      <c r="F163">
        <v>40</v>
      </c>
      <c r="G163">
        <v>2450</v>
      </c>
      <c r="H163">
        <f>G163*3/100</f>
        <v>73.5</v>
      </c>
      <c r="I163">
        <f>G163-H163</f>
        <v>2376.5</v>
      </c>
      <c r="J163">
        <v>18.7</v>
      </c>
      <c r="K163">
        <f>I163*J163</f>
        <v>44440.549999999996</v>
      </c>
      <c r="L163">
        <f>F163*5</f>
        <v>200</v>
      </c>
      <c r="N163">
        <v>500</v>
      </c>
      <c r="P163">
        <f>K163-L163+M163-N163-O163</f>
        <v>43740.549999999996</v>
      </c>
      <c r="R163">
        <f>G163/F163</f>
        <v>61.25</v>
      </c>
    </row>
    <row r="164">
      <c r="A164">
        <v>154</v>
      </c>
      <c r="B164">
        <v>46002</v>
      </c>
      <c r="C164" t="str">
        <v>KOTTAGIRAV</v>
      </c>
      <c r="D164" t="str">
        <v>HONNALI</v>
      </c>
      <c r="E164">
        <v>9380709720</v>
      </c>
      <c r="F164">
        <v>115</v>
      </c>
      <c r="G164">
        <v>6530</v>
      </c>
      <c r="H164">
        <f>G164*3/100</f>
        <v>195.9</v>
      </c>
      <c r="I164">
        <f>G164-H164</f>
        <v>6334.1</v>
      </c>
      <c r="J164">
        <v>18.35</v>
      </c>
      <c r="K164">
        <f>I164*J164</f>
        <v>116230.73500000002</v>
      </c>
      <c r="L164">
        <f>F164*5</f>
        <v>575</v>
      </c>
      <c r="P164">
        <f>K164-L164+M164-N164-O164</f>
        <v>115655.73500000002</v>
      </c>
      <c r="R164">
        <f>G164/F164</f>
        <v>56.78260869565217</v>
      </c>
    </row>
    <row r="165">
      <c r="A165">
        <v>155</v>
      </c>
      <c r="B165">
        <v>46002</v>
      </c>
      <c r="C165" t="str">
        <v>PUTTAPPA</v>
      </c>
      <c r="D165" t="str">
        <v>BELEMALURU</v>
      </c>
      <c r="E165">
        <v>9986831838</v>
      </c>
      <c r="F165">
        <v>16</v>
      </c>
      <c r="G165">
        <v>930</v>
      </c>
      <c r="H165">
        <f>G165*3/100</f>
        <v>27.9</v>
      </c>
      <c r="I165">
        <f>G165-H165</f>
        <v>902.1</v>
      </c>
      <c r="J165">
        <v>18.6</v>
      </c>
      <c r="K165">
        <f>I165*J165</f>
        <v>16779.06</v>
      </c>
      <c r="L165">
        <f>F165*5</f>
        <v>80</v>
      </c>
      <c r="N165">
        <v>2000</v>
      </c>
      <c r="P165">
        <f>K165-L165+M165-N165-O165</f>
        <v>14699.060000000001</v>
      </c>
      <c r="R165">
        <f>G165/F165</f>
        <v>58.125</v>
      </c>
    </row>
    <row r="166">
      <c r="A166">
        <v>156</v>
      </c>
      <c r="B166">
        <v>46002</v>
      </c>
      <c r="C166" t="str">
        <v>GAJEDRA</v>
      </c>
      <c r="D166" t="str">
        <v>BELEMALURU</v>
      </c>
      <c r="E166">
        <v>9964975078</v>
      </c>
      <c r="F166">
        <v>31</v>
      </c>
      <c r="G166">
        <v>1830</v>
      </c>
      <c r="H166">
        <f>G166*3/100</f>
        <v>54.9</v>
      </c>
      <c r="I166">
        <f>G166-H166</f>
        <v>1775.1</v>
      </c>
      <c r="J166">
        <v>18.8</v>
      </c>
      <c r="K166">
        <f>I166*J166</f>
        <v>33371.88</v>
      </c>
      <c r="L166">
        <f>F166*5</f>
        <v>155</v>
      </c>
      <c r="N166">
        <v>500</v>
      </c>
      <c r="P166">
        <f>K166-L166+M166-N166-O166</f>
        <v>32716.879999999997</v>
      </c>
      <c r="R166">
        <f>G166/F166</f>
        <v>59.03225806451613</v>
      </c>
    </row>
    <row r="167">
      <c r="A167">
        <v>157</v>
      </c>
      <c r="B167">
        <v>46002</v>
      </c>
      <c r="C167" t="str">
        <v>BEERAPPA</v>
      </c>
      <c r="D167" t="str">
        <v>BELMALURU</v>
      </c>
      <c r="E167">
        <v>8971004630</v>
      </c>
      <c r="F167">
        <v>28</v>
      </c>
      <c r="G167">
        <v>1660</v>
      </c>
      <c r="H167">
        <f>G167*3/100</f>
        <v>49.8</v>
      </c>
      <c r="I167">
        <f>G167-H167</f>
        <v>1610.2</v>
      </c>
      <c r="J167">
        <v>18.8</v>
      </c>
      <c r="K167">
        <f>I167*J167</f>
        <v>30271.760000000002</v>
      </c>
      <c r="L167">
        <f>F167*5</f>
        <v>140</v>
      </c>
      <c r="P167">
        <f>K167-L167+M167-N167-O167</f>
        <v>30131.760000000002</v>
      </c>
      <c r="R167">
        <f>G167/F167</f>
        <v>59.285714285714285</v>
      </c>
    </row>
    <row r="168">
      <c r="A168">
        <v>158</v>
      </c>
      <c r="B168">
        <v>46002</v>
      </c>
      <c r="C168" t="str">
        <v>MANJAPPA</v>
      </c>
      <c r="D168" t="str">
        <v>BELEMALURU</v>
      </c>
      <c r="E168">
        <v>8971004630</v>
      </c>
      <c r="F168">
        <v>29</v>
      </c>
      <c r="G168">
        <v>1710</v>
      </c>
      <c r="H168">
        <f>G168*3/100</f>
        <v>51.3</v>
      </c>
      <c r="I168">
        <f>G168-H168</f>
        <v>1658.7</v>
      </c>
      <c r="J168">
        <v>18.8</v>
      </c>
      <c r="K168">
        <f>I168*J168</f>
        <v>31183.56</v>
      </c>
      <c r="L168">
        <f>F168*5</f>
        <v>145</v>
      </c>
      <c r="P168">
        <f>K168-L168+M168-N168-O168</f>
        <v>31038.56</v>
      </c>
      <c r="R168">
        <f>G168/F168</f>
        <v>58.96551724137931</v>
      </c>
    </row>
    <row r="169">
      <c r="A169">
        <v>159</v>
      </c>
      <c r="B169">
        <v>46002</v>
      </c>
      <c r="C169" t="str">
        <v>PRAJU</v>
      </c>
      <c r="D169" t="str">
        <v>HANUSAGARA</v>
      </c>
      <c r="E169">
        <v>9945030765</v>
      </c>
      <c r="F169">
        <v>77</v>
      </c>
      <c r="G169">
        <v>4290</v>
      </c>
      <c r="H169">
        <f>G169*3/100</f>
        <v>128.7</v>
      </c>
      <c r="I169">
        <f>G169-H169</f>
        <v>4161.3</v>
      </c>
      <c r="J169">
        <v>18.7</v>
      </c>
      <c r="K169">
        <f>I169*J169</f>
        <v>77816.31</v>
      </c>
      <c r="L169">
        <f>F169*5</f>
        <v>385</v>
      </c>
      <c r="N169">
        <v>200</v>
      </c>
      <c r="P169">
        <f>K169-L169+M169-N169-O169</f>
        <v>77231.31</v>
      </c>
      <c r="R169">
        <f>G169/F169</f>
        <v>55.714285714285715</v>
      </c>
    </row>
    <row r="170">
      <c r="A170">
        <v>160</v>
      </c>
      <c r="B170">
        <v>46002</v>
      </c>
      <c r="C170" t="str">
        <v>RAJAPPA</v>
      </c>
      <c r="D170" t="str">
        <v>HANUSAGARA</v>
      </c>
      <c r="E170">
        <v>8073904660</v>
      </c>
      <c r="F170">
        <v>17</v>
      </c>
      <c r="G170">
        <v>950</v>
      </c>
      <c r="H170">
        <f>G170*3/100</f>
        <v>28.5</v>
      </c>
      <c r="I170">
        <f>G170-H170</f>
        <v>921.5</v>
      </c>
      <c r="J170">
        <v>18</v>
      </c>
      <c r="K170">
        <f>I170*J170</f>
        <v>16587</v>
      </c>
      <c r="L170">
        <f>F170*5</f>
        <v>85</v>
      </c>
      <c r="P170">
        <f>K170-L170+M170-N170-O170</f>
        <v>16502</v>
      </c>
      <c r="R170">
        <f>G170/F170</f>
        <v>55.88235294117647</v>
      </c>
    </row>
    <row r="171">
      <c r="A171">
        <v>161</v>
      </c>
      <c r="B171">
        <v>46002</v>
      </c>
      <c r="C171" t="str">
        <v>CHSNESH</v>
      </c>
      <c r="D171" t="str">
        <v>HANUSAGARA</v>
      </c>
      <c r="E171">
        <v>8073904660</v>
      </c>
      <c r="F171">
        <v>29</v>
      </c>
      <c r="G171">
        <v>1680</v>
      </c>
      <c r="H171">
        <f>G171*3/100</f>
        <v>50.4</v>
      </c>
      <c r="I171">
        <f>G171-H171</f>
        <v>1629.6</v>
      </c>
      <c r="J171">
        <v>18.5</v>
      </c>
      <c r="K171">
        <f>I171*J171</f>
        <v>30147.6</v>
      </c>
      <c r="L171">
        <f>F171*5</f>
        <v>145</v>
      </c>
      <c r="P171">
        <f>K171-L171+M171-N171-O171</f>
        <v>30002.6</v>
      </c>
      <c r="R171">
        <f>G171/F171</f>
        <v>57.93103448275862</v>
      </c>
    </row>
    <row r="172">
      <c r="A172">
        <v>162</v>
      </c>
      <c r="B172">
        <v>46002</v>
      </c>
      <c r="C172" t="str">
        <v>SIDDESH</v>
      </c>
      <c r="D172" t="str">
        <v>HOLEMADAPURA</v>
      </c>
      <c r="E172">
        <v>9740987795</v>
      </c>
      <c r="F172">
        <v>10</v>
      </c>
      <c r="G172">
        <v>560</v>
      </c>
      <c r="H172">
        <f>G172*3/100</f>
        <v>16.8</v>
      </c>
      <c r="I172">
        <f>G172-H172</f>
        <v>543.2</v>
      </c>
      <c r="J172">
        <v>18.5</v>
      </c>
      <c r="K172">
        <f>I172*J172</f>
        <v>10049.2</v>
      </c>
      <c r="L172">
        <f>F172*5</f>
        <v>50</v>
      </c>
      <c r="P172">
        <f>K172-L172+M172-N172-O172</f>
        <v>9999.2</v>
      </c>
      <c r="R172">
        <f>G172/F172</f>
        <v>56</v>
      </c>
    </row>
    <row r="173">
      <c r="A173">
        <v>163</v>
      </c>
      <c r="B173">
        <v>46002</v>
      </c>
      <c r="C173" t="str">
        <v>Nagarajappa</v>
      </c>
      <c r="D173" t="str">
        <v>HUMSAGARA</v>
      </c>
      <c r="E173">
        <v>7795192542</v>
      </c>
      <c r="F173">
        <v>39</v>
      </c>
      <c r="G173">
        <v>2250</v>
      </c>
      <c r="H173">
        <f>G173*3/100</f>
        <v>67.5</v>
      </c>
      <c r="I173">
        <f>G173-H173</f>
        <v>2182.5</v>
      </c>
      <c r="J173">
        <v>18.7</v>
      </c>
      <c r="K173">
        <f>I173*J173</f>
        <v>40812.75</v>
      </c>
      <c r="L173">
        <f>F173*5</f>
        <v>195</v>
      </c>
      <c r="P173">
        <f>K173-L173+M173-N173-O173</f>
        <v>40617.75</v>
      </c>
      <c r="R173">
        <f>G173/F173</f>
        <v>57.69230769230769</v>
      </c>
    </row>
    <row r="174">
      <c r="A174">
        <v>164</v>
      </c>
      <c r="B174">
        <v>46002</v>
      </c>
      <c r="C174" t="str">
        <v>NAGENDRA</v>
      </c>
      <c r="D174" t="str">
        <v>HOLEMADAPURA</v>
      </c>
      <c r="E174">
        <v>8904278324</v>
      </c>
      <c r="F174">
        <v>67</v>
      </c>
      <c r="G174">
        <v>3780</v>
      </c>
      <c r="H174">
        <f>G174*3/100</f>
        <v>113.4</v>
      </c>
      <c r="I174">
        <f>G174-H174</f>
        <v>3666.6</v>
      </c>
      <c r="J174">
        <v>18.65</v>
      </c>
      <c r="K174">
        <f>I174*J174</f>
        <v>68382.09</v>
      </c>
      <c r="L174">
        <f>F174*5</f>
        <v>335</v>
      </c>
      <c r="P174">
        <f>K174-L174+M174-N174-O174</f>
        <v>68047.09</v>
      </c>
      <c r="R174">
        <f>G174/F174</f>
        <v>56.417910447761194</v>
      </c>
    </row>
    <row r="175">
      <c r="A175">
        <v>165</v>
      </c>
      <c r="B175" t="str">
        <v>13/11/2025</v>
      </c>
      <c r="C175" t="str">
        <v>MALLIKA</v>
      </c>
      <c r="D175" t="str">
        <v>BALMURI</v>
      </c>
      <c r="E175">
        <v>9731464788</v>
      </c>
      <c r="F175">
        <v>60</v>
      </c>
      <c r="G175">
        <v>3460</v>
      </c>
      <c r="H175">
        <f>G175*3/100</f>
        <v>103.8</v>
      </c>
      <c r="I175">
        <f>G175-H175</f>
        <v>3356.2</v>
      </c>
      <c r="J175">
        <v>18.35</v>
      </c>
      <c r="K175">
        <f>I175*J175</f>
        <v>61586.270000000004</v>
      </c>
      <c r="L175">
        <f>F175*5</f>
        <v>300</v>
      </c>
      <c r="P175">
        <f>K175-L175+M175-N175-O175</f>
        <v>61286.270000000004</v>
      </c>
      <c r="R175">
        <f>G175/F175</f>
        <v>57.666666666666664</v>
      </c>
    </row>
    <row r="176">
      <c r="A176">
        <v>166</v>
      </c>
      <c r="B176" t="str">
        <v>13/11/2025</v>
      </c>
      <c r="C176" t="str">
        <v>CHANDRU</v>
      </c>
      <c r="D176" t="str">
        <v>BALMURI</v>
      </c>
      <c r="E176">
        <v>7349048241</v>
      </c>
      <c r="F176">
        <v>34</v>
      </c>
      <c r="G176">
        <v>1980</v>
      </c>
      <c r="H176">
        <f>G176*3/100</f>
        <v>59.4</v>
      </c>
      <c r="I176">
        <f>G176-H176</f>
        <v>1920.6</v>
      </c>
      <c r="J176">
        <v>18.3</v>
      </c>
      <c r="K176">
        <f>I176*J176</f>
        <v>35146.98</v>
      </c>
      <c r="L176">
        <f>F176*5</f>
        <v>170</v>
      </c>
      <c r="P176">
        <f>K176-L176+M176-N176-O176</f>
        <v>34976.98</v>
      </c>
      <c r="R176">
        <f>G176/F176</f>
        <v>58.23529411764706</v>
      </c>
    </row>
    <row r="177">
      <c r="A177">
        <v>167</v>
      </c>
      <c r="B177" t="str">
        <v>13/11/2025</v>
      </c>
      <c r="C177" t="str">
        <v>MANJULA</v>
      </c>
      <c r="D177" t="str">
        <v>BELEMALURU</v>
      </c>
      <c r="E177">
        <v>9740616409</v>
      </c>
      <c r="F177">
        <v>30</v>
      </c>
      <c r="G177">
        <v>1790</v>
      </c>
      <c r="H177">
        <f>G177*3/100</f>
        <v>53.7</v>
      </c>
      <c r="I177">
        <f>G177-H177</f>
        <v>1736.3</v>
      </c>
      <c r="J177">
        <v>18.8</v>
      </c>
      <c r="K177">
        <f>I177*J177</f>
        <v>32642.44</v>
      </c>
      <c r="L177">
        <f>F177*5</f>
        <v>150</v>
      </c>
      <c r="P177">
        <f>K177-L177+M177-N177-O177</f>
        <v>32492.44</v>
      </c>
      <c r="R177">
        <f>G177/F177</f>
        <v>59.666666666666664</v>
      </c>
    </row>
    <row r="178">
      <c r="A178">
        <v>168</v>
      </c>
      <c r="B178" t="str">
        <v>13/11/2025</v>
      </c>
      <c r="C178" t="str">
        <v>HANMANTHAPPA</v>
      </c>
      <c r="D178" t="str">
        <v>BELEMALURU</v>
      </c>
      <c r="F178">
        <v>27</v>
      </c>
      <c r="G178">
        <v>1570</v>
      </c>
      <c r="H178">
        <f>G178*3/100</f>
        <v>47.1</v>
      </c>
      <c r="I178">
        <f>G178-H178</f>
        <v>1522.9</v>
      </c>
      <c r="J178">
        <v>18.8</v>
      </c>
      <c r="K178">
        <f>I178*J178</f>
        <v>28630.520000000004</v>
      </c>
      <c r="L178">
        <f>F178*5</f>
        <v>135</v>
      </c>
      <c r="P178">
        <f>K178-L178+M178-N178-O178</f>
        <v>28495.520000000004</v>
      </c>
      <c r="R178">
        <f>G178/F178</f>
        <v>58.148148148148145</v>
      </c>
    </row>
    <row r="179">
      <c r="A179">
        <v>169</v>
      </c>
      <c r="B179" t="str">
        <v>13/11/2025</v>
      </c>
      <c r="C179" t="str">
        <v>ANNAPPA</v>
      </c>
      <c r="D179" t="str">
        <v>BELEMALURU</v>
      </c>
      <c r="E179">
        <v>9380233906</v>
      </c>
      <c r="F179">
        <v>37</v>
      </c>
      <c r="G179">
        <v>2200</v>
      </c>
      <c r="H179">
        <f>G179*3/100</f>
        <v>66</v>
      </c>
      <c r="I179">
        <f>G179-H179</f>
        <v>2134</v>
      </c>
      <c r="J179">
        <v>18.8</v>
      </c>
      <c r="K179">
        <f>I179*J179</f>
        <v>40119.200000000004</v>
      </c>
      <c r="L179">
        <f>F179*5</f>
        <v>185</v>
      </c>
      <c r="P179">
        <f>K179-L179+M179-N179-O179</f>
        <v>39934.200000000004</v>
      </c>
      <c r="R179">
        <f>G179/F179</f>
        <v>59.45945945945946</v>
      </c>
    </row>
    <row r="180">
      <c r="A180">
        <v>170</v>
      </c>
      <c r="B180" t="str">
        <v>13/11/2025</v>
      </c>
      <c r="C180" t="str">
        <v>RAMMAPPA</v>
      </c>
      <c r="D180" t="str">
        <v>HOLEHARHALLI</v>
      </c>
      <c r="E180">
        <v>8277531094</v>
      </c>
      <c r="F180">
        <v>37</v>
      </c>
      <c r="G180">
        <v>2240</v>
      </c>
      <c r="H180">
        <f>G180*3/100</f>
        <v>67.2</v>
      </c>
      <c r="I180">
        <f>G180-H180</f>
        <v>2172.8</v>
      </c>
      <c r="J180">
        <v>18.8</v>
      </c>
      <c r="K180">
        <f>I180*J180</f>
        <v>40848.64000000001</v>
      </c>
      <c r="L180">
        <f>F180*5</f>
        <v>185</v>
      </c>
      <c r="P180">
        <f>K180-L180+M180-N180-O180</f>
        <v>40663.64000000001</v>
      </c>
      <c r="R180">
        <f>G180/F180</f>
        <v>60.54054054054054</v>
      </c>
    </row>
    <row r="181">
      <c r="A181">
        <v>171</v>
      </c>
      <c r="B181" t="str">
        <v>13/11/2025</v>
      </c>
      <c r="C181" t="str">
        <v>MINABAI</v>
      </c>
      <c r="D181" t="str">
        <v>Kotemaluru</v>
      </c>
      <c r="E181">
        <v>9148458492</v>
      </c>
      <c r="F181">
        <v>15</v>
      </c>
      <c r="G181">
        <v>850</v>
      </c>
      <c r="H181">
        <f>G181*3/100</f>
        <v>25.5</v>
      </c>
      <c r="I181">
        <f>G181-H181</f>
        <v>824.5</v>
      </c>
      <c r="J181">
        <v>18.5</v>
      </c>
      <c r="K181">
        <f>I181*J181</f>
        <v>15253.25</v>
      </c>
      <c r="L181">
        <f>F181*5</f>
        <v>75</v>
      </c>
      <c r="P181">
        <f>K181-L181+M181-N181-O181</f>
        <v>15178.25</v>
      </c>
      <c r="R181">
        <f>G181/F181</f>
        <v>56.666666666666664</v>
      </c>
    </row>
    <row r="182">
      <c r="A182">
        <v>172</v>
      </c>
      <c r="B182" t="str">
        <v>13/11/2025</v>
      </c>
      <c r="C182" t="str">
        <v>MAJUNAIK</v>
      </c>
      <c r="D182" t="str">
        <v>Kotemaluru</v>
      </c>
      <c r="E182">
        <v>9632501034</v>
      </c>
      <c r="F182">
        <v>15</v>
      </c>
      <c r="G182">
        <v>900</v>
      </c>
      <c r="H182">
        <f>G182*3/100</f>
        <v>27</v>
      </c>
      <c r="I182">
        <f>G182-H182</f>
        <v>873</v>
      </c>
      <c r="J182">
        <v>18.2</v>
      </c>
      <c r="K182">
        <f>I182*J182</f>
        <v>15888.599999999999</v>
      </c>
      <c r="L182">
        <f>F182*5</f>
        <v>75</v>
      </c>
      <c r="P182">
        <f>K182-L182+M182-N182-O182</f>
        <v>15813.599999999999</v>
      </c>
      <c r="R182">
        <f>G182/F182</f>
        <v>60</v>
      </c>
    </row>
    <row r="183">
      <c r="A183">
        <v>173</v>
      </c>
      <c r="B183" t="str">
        <v>13/11/2025</v>
      </c>
      <c r="C183" t="str">
        <v>NANDEPPA</v>
      </c>
      <c r="D183" t="str">
        <v>HARHALLI</v>
      </c>
      <c r="E183">
        <v>8050884314</v>
      </c>
      <c r="F183">
        <v>54</v>
      </c>
      <c r="G183">
        <v>3110</v>
      </c>
      <c r="H183">
        <f>G183*3/100</f>
        <v>93.3</v>
      </c>
      <c r="I183">
        <f>G183-H183</f>
        <v>3016.7</v>
      </c>
      <c r="J183">
        <v>18.8</v>
      </c>
      <c r="K183">
        <f>I183*J183</f>
        <v>56713.96</v>
      </c>
      <c r="L183">
        <f>F183*5</f>
        <v>270</v>
      </c>
      <c r="P183">
        <f>K183-L183+M183-N183-O183</f>
        <v>56443.96</v>
      </c>
      <c r="R183">
        <f>G183/F183</f>
        <v>57.592592592592595</v>
      </c>
    </row>
    <row r="184">
      <c r="A184">
        <v>174</v>
      </c>
      <c r="B184" t="str">
        <v>13/11/2025</v>
      </c>
      <c r="C184" t="str">
        <v>DEVAJA NAIK</v>
      </c>
      <c r="D184" t="str">
        <v>HANUSAGARA</v>
      </c>
      <c r="E184">
        <v>9740654064</v>
      </c>
      <c r="F184">
        <v>9</v>
      </c>
      <c r="G184">
        <v>536</v>
      </c>
      <c r="H184">
        <f>G184*3/100</f>
        <v>16.08</v>
      </c>
      <c r="I184">
        <f>G184-H184</f>
        <v>519.92</v>
      </c>
      <c r="J184">
        <v>18</v>
      </c>
      <c r="K184">
        <f>I184*J184</f>
        <v>9358.56</v>
      </c>
      <c r="L184">
        <f>F184*5</f>
        <v>45</v>
      </c>
      <c r="P184">
        <f>K184-L184+M184-N184-O184</f>
        <v>9313.56</v>
      </c>
      <c r="R184">
        <f>G184/F184</f>
        <v>59.55555555555556</v>
      </c>
    </row>
    <row r="185">
      <c r="A185">
        <v>175</v>
      </c>
      <c r="B185" t="str">
        <v>13/11/2025</v>
      </c>
      <c r="C185" t="str">
        <v>MALESHAPPA</v>
      </c>
      <c r="D185" t="str">
        <v>BELEMALURU</v>
      </c>
      <c r="E185">
        <v>7411508298</v>
      </c>
      <c r="F185">
        <v>37</v>
      </c>
      <c r="G185">
        <v>2200</v>
      </c>
      <c r="H185">
        <f>G185*3/100</f>
        <v>66</v>
      </c>
      <c r="I185">
        <f>G185-H185</f>
        <v>2134</v>
      </c>
      <c r="J185">
        <v>18.85</v>
      </c>
      <c r="K185">
        <f>I185*J185</f>
        <v>40225.9</v>
      </c>
      <c r="L185">
        <f>F185*5</f>
        <v>185</v>
      </c>
      <c r="P185">
        <f>K185-L185+M185-N185-O185</f>
        <v>40040.9</v>
      </c>
      <c r="R185">
        <f>G185/F185</f>
        <v>59.45945945945946</v>
      </c>
    </row>
    <row r="186">
      <c r="A186">
        <v>176</v>
      </c>
      <c r="B186" t="str">
        <v>13/11/2025</v>
      </c>
      <c r="C186" t="str">
        <v>LOKAPPA</v>
      </c>
      <c r="D186" t="str">
        <v>HOLEMADAPURA</v>
      </c>
      <c r="E186">
        <v>9008139772</v>
      </c>
      <c r="F186">
        <v>32</v>
      </c>
      <c r="G186">
        <v>1770</v>
      </c>
      <c r="H186">
        <f>G186*3/100</f>
        <v>53.1</v>
      </c>
      <c r="I186">
        <f>G186-H186</f>
        <v>1716.9</v>
      </c>
      <c r="J186">
        <v>18.8</v>
      </c>
      <c r="K186">
        <f>I186*J186</f>
        <v>32277.72</v>
      </c>
      <c r="L186">
        <f>F186*5</f>
        <v>160</v>
      </c>
      <c r="P186">
        <f>K186-L186+M186-N186-O186</f>
        <v>32117.72</v>
      </c>
      <c r="R186">
        <f>G186/F186</f>
        <v>55.3125</v>
      </c>
    </row>
    <row r="187">
      <c r="A187">
        <v>177</v>
      </c>
      <c r="B187" t="str">
        <v>14/11/2025</v>
      </c>
      <c r="C187" t="str">
        <v>SHIVU GARRAGE</v>
      </c>
      <c r="D187" t="str">
        <v>HONNALI</v>
      </c>
      <c r="E187">
        <v>9886852072</v>
      </c>
      <c r="F187">
        <v>108</v>
      </c>
      <c r="G187">
        <v>6400</v>
      </c>
      <c r="H187">
        <f>G187*3/100</f>
        <v>192</v>
      </c>
      <c r="I187">
        <f>G187-H187</f>
        <v>6208</v>
      </c>
      <c r="J187">
        <v>19</v>
      </c>
      <c r="K187">
        <f>I187*J187</f>
        <v>117952</v>
      </c>
      <c r="L187">
        <f>F187*5</f>
        <v>540</v>
      </c>
      <c r="P187">
        <f>K187-L187+M187-N187-O187</f>
        <v>117412</v>
      </c>
      <c r="R187">
        <f>G187/F187</f>
        <v>59.25925925925926</v>
      </c>
    </row>
    <row r="188">
      <c r="A188">
        <v>178</v>
      </c>
      <c r="B188" t="str">
        <v>14/11/2025</v>
      </c>
      <c r="C188" t="str">
        <v>RAGANATH</v>
      </c>
      <c r="D188" t="str">
        <v>DEVARAHONNALI</v>
      </c>
      <c r="E188">
        <v>9448399521</v>
      </c>
      <c r="F188">
        <v>12</v>
      </c>
      <c r="G188">
        <v>710</v>
      </c>
      <c r="H188">
        <f>G188*3/100</f>
        <v>21.3</v>
      </c>
      <c r="I188">
        <f>G188-H188</f>
        <v>688.7</v>
      </c>
      <c r="J188">
        <v>18</v>
      </c>
      <c r="K188">
        <f>I188*J188</f>
        <v>12396.6</v>
      </c>
      <c r="L188">
        <f>F188*5</f>
        <v>60</v>
      </c>
      <c r="N188">
        <v>525</v>
      </c>
      <c r="P188">
        <f>K188-L188+M188-N188-O188</f>
        <v>11811.6</v>
      </c>
      <c r="R188">
        <f>G188/F188</f>
        <v>59.166666666666664</v>
      </c>
    </row>
    <row r="189">
      <c r="A189">
        <v>179</v>
      </c>
      <c r="B189" t="str">
        <v>14/11/2025</v>
      </c>
      <c r="C189" t="str">
        <v>ABHI</v>
      </c>
      <c r="D189" t="str">
        <v>DEVARAHONNALI</v>
      </c>
      <c r="E189">
        <v>7795467828</v>
      </c>
      <c r="F189">
        <v>217</v>
      </c>
      <c r="G189">
        <v>12660</v>
      </c>
      <c r="H189">
        <f>G189*3/100</f>
        <v>379.8</v>
      </c>
      <c r="I189">
        <f>G189-H189</f>
        <v>12280.2</v>
      </c>
      <c r="J189">
        <v>18.8</v>
      </c>
      <c r="K189">
        <f>I189*J189</f>
        <v>230867.76</v>
      </c>
      <c r="L189">
        <f>F189*5</f>
        <v>1085</v>
      </c>
      <c r="N189">
        <v>4525</v>
      </c>
      <c r="P189">
        <f>K189-L189+M189-N189-O189</f>
        <v>225257.76</v>
      </c>
      <c r="R189">
        <f>G189/F189</f>
        <v>58.34101382488479</v>
      </c>
    </row>
    <row r="190">
      <c r="A190">
        <v>180</v>
      </c>
      <c r="B190" t="str">
        <v>14/11/2025</v>
      </c>
      <c r="C190" t="str">
        <v>SHIMA</v>
      </c>
      <c r="D190" t="str">
        <v>HONNALI</v>
      </c>
      <c r="E190">
        <v>8731970096</v>
      </c>
      <c r="F190">
        <v>24</v>
      </c>
      <c r="G190">
        <v>1390</v>
      </c>
      <c r="H190">
        <f>G190*3/100</f>
        <v>41.7</v>
      </c>
      <c r="I190">
        <f>G190-H190</f>
        <v>1348.3</v>
      </c>
      <c r="J190">
        <v>18.7</v>
      </c>
      <c r="K190">
        <f>I190*J190</f>
        <v>25213.21</v>
      </c>
      <c r="L190">
        <f>F190*5</f>
        <v>120</v>
      </c>
      <c r="P190">
        <f>K190-L190+M190-N190-O190</f>
        <v>25093.21</v>
      </c>
      <c r="R190">
        <f>G190/F190</f>
        <v>57.916666666666664</v>
      </c>
    </row>
    <row r="191">
      <c r="A191">
        <v>181</v>
      </c>
      <c r="B191" t="str">
        <v>14/11/2025</v>
      </c>
      <c r="C191" t="str">
        <v>HALESH</v>
      </c>
      <c r="D191" t="str">
        <v>KONAYAKAHALLI</v>
      </c>
      <c r="E191">
        <v>7676163290</v>
      </c>
      <c r="F191">
        <v>171</v>
      </c>
      <c r="G191">
        <v>9890</v>
      </c>
      <c r="H191">
        <f>G191*3/100</f>
        <v>296.7</v>
      </c>
      <c r="I191">
        <f>G191-H191</f>
        <v>9593.3</v>
      </c>
      <c r="J191">
        <v>18.4</v>
      </c>
      <c r="K191">
        <f>I191*J191</f>
        <v>176516.71999999997</v>
      </c>
      <c r="L191">
        <f>F191*5</f>
        <v>855</v>
      </c>
      <c r="N191">
        <v>10000</v>
      </c>
      <c r="P191">
        <f>K191-L191+M191-N191-O191</f>
        <v>165661.71999999997</v>
      </c>
      <c r="R191">
        <f>G191/F191</f>
        <v>57.83625730994152</v>
      </c>
    </row>
    <row r="192">
      <c r="A192">
        <v>182</v>
      </c>
      <c r="B192" t="str">
        <v>14/11/2025</v>
      </c>
      <c r="C192" t="str">
        <v>LOKAPPA</v>
      </c>
      <c r="D192" t="str">
        <v>KONAYAKAHALLI</v>
      </c>
      <c r="F192">
        <v>15</v>
      </c>
      <c r="G192">
        <v>900</v>
      </c>
      <c r="H192">
        <f>G192*3/100</f>
        <v>27</v>
      </c>
      <c r="I192">
        <f>G192-H192</f>
        <v>873</v>
      </c>
      <c r="J192">
        <v>18.2</v>
      </c>
      <c r="K192">
        <f>I192*J192</f>
        <v>15888.599999999999</v>
      </c>
      <c r="L192">
        <f>F192*5</f>
        <v>75</v>
      </c>
      <c r="P192">
        <f>K192-L192+M192-N192-O192</f>
        <v>15813.599999999999</v>
      </c>
      <c r="R192">
        <f>G192/F192</f>
        <v>60</v>
      </c>
    </row>
    <row r="193">
      <c r="A193">
        <v>183</v>
      </c>
      <c r="B193" t="str">
        <v>14/11/2025</v>
      </c>
      <c r="C193" t="str">
        <v>LOKAPPA</v>
      </c>
      <c r="D193" t="str">
        <v>KONAYAKAHALLI</v>
      </c>
      <c r="F193">
        <v>33</v>
      </c>
      <c r="G193">
        <v>1860</v>
      </c>
      <c r="H193">
        <f>G193*3/100</f>
        <v>55.8</v>
      </c>
      <c r="I193">
        <f>G193-H193</f>
        <v>1804.2</v>
      </c>
      <c r="J193">
        <v>18.25</v>
      </c>
      <c r="K193">
        <f>I193*J193</f>
        <v>32926.65</v>
      </c>
      <c r="L193">
        <f>F193*5</f>
        <v>165</v>
      </c>
      <c r="P193">
        <f>K193-L193+M193-N193-O193</f>
        <v>32761.65</v>
      </c>
      <c r="R193">
        <f>G193/F193</f>
        <v>56.36363636363637</v>
      </c>
    </row>
    <row r="194">
      <c r="A194">
        <v>184</v>
      </c>
      <c r="B194" t="str">
        <v>14/11/2025</v>
      </c>
      <c r="C194" t="str">
        <v>Hanumantappa</v>
      </c>
      <c r="D194" t="str">
        <v>KONAYAKAHALLI</v>
      </c>
      <c r="F194">
        <v>18</v>
      </c>
      <c r="G194">
        <v>1050</v>
      </c>
      <c r="H194">
        <f>G194*3/100</f>
        <v>31.5</v>
      </c>
      <c r="I194">
        <f>G194-H194</f>
        <v>1018.5</v>
      </c>
      <c r="J194">
        <v>18.25</v>
      </c>
      <c r="K194">
        <f>I194*J194</f>
        <v>18587.625</v>
      </c>
      <c r="L194">
        <f>F194*5</f>
        <v>90</v>
      </c>
      <c r="P194">
        <f>K194-L194+M194-N194-O194</f>
        <v>18497.625</v>
      </c>
      <c r="R194">
        <f>G194/F194</f>
        <v>58.333333333333336</v>
      </c>
    </row>
    <row r="195">
      <c r="A195">
        <v>185</v>
      </c>
      <c r="B195" t="str">
        <v>14/11/2025</v>
      </c>
      <c r="C195" t="str">
        <v>SHASHI</v>
      </c>
      <c r="D195" t="str">
        <v>KONAYAKAHALLI</v>
      </c>
      <c r="F195">
        <v>11</v>
      </c>
      <c r="G195">
        <v>600</v>
      </c>
      <c r="H195">
        <f>G195*3/100</f>
        <v>18</v>
      </c>
      <c r="I195">
        <f>G195-H195</f>
        <v>582</v>
      </c>
      <c r="J195">
        <v>18.2</v>
      </c>
      <c r="K195">
        <f>I195*J195</f>
        <v>10592.4</v>
      </c>
      <c r="L195">
        <f>F195*5</f>
        <v>55</v>
      </c>
      <c r="P195">
        <f>K195-L195+M195-N195-O195</f>
        <v>10537.4</v>
      </c>
      <c r="R195">
        <f>G195/F195</f>
        <v>54.54545454545455</v>
      </c>
    </row>
    <row r="196">
      <c r="A196">
        <v>186</v>
      </c>
      <c r="B196" t="str">
        <v>14/11/2025</v>
      </c>
      <c r="C196" t="str">
        <v>HALADAPPA</v>
      </c>
      <c r="D196" t="str">
        <v>BELEMALURU</v>
      </c>
      <c r="E196">
        <v>8762206831</v>
      </c>
      <c r="F196">
        <v>20</v>
      </c>
      <c r="G196">
        <v>1160</v>
      </c>
      <c r="H196">
        <f>G196*3/100</f>
        <v>34.8</v>
      </c>
      <c r="I196">
        <f>G196-H196</f>
        <v>1125.2</v>
      </c>
      <c r="J196">
        <v>18.8</v>
      </c>
      <c r="K196">
        <f>I196*J196</f>
        <v>21153.760000000002</v>
      </c>
      <c r="L196">
        <f>F196*5</f>
        <v>100</v>
      </c>
      <c r="P196">
        <f>K196-L196+M196-N196-O196</f>
        <v>21053.760000000002</v>
      </c>
      <c r="R196">
        <f>G196/F196</f>
        <v>58</v>
      </c>
    </row>
    <row r="197">
      <c r="A197">
        <v>187</v>
      </c>
      <c r="B197" t="str">
        <v>14/11/2025</v>
      </c>
      <c r="C197" t="str">
        <v>VEERAIAH</v>
      </c>
      <c r="D197" t="str">
        <v>ARBGATTE</v>
      </c>
      <c r="E197">
        <v>9986414053</v>
      </c>
      <c r="F197">
        <v>37</v>
      </c>
      <c r="G197">
        <v>2150</v>
      </c>
      <c r="H197">
        <f>G197*3/100</f>
        <v>64.5</v>
      </c>
      <c r="I197">
        <f>G197-H197</f>
        <v>2085.5</v>
      </c>
      <c r="J197">
        <v>18.7</v>
      </c>
      <c r="K197">
        <f>I197*J197</f>
        <v>38998.85</v>
      </c>
      <c r="L197">
        <f>F197*5</f>
        <v>185</v>
      </c>
      <c r="P197">
        <f>K197-L197+M197-N197-O197</f>
        <v>38813.85</v>
      </c>
      <c r="R197">
        <f>G197/F197</f>
        <v>58.108108108108105</v>
      </c>
    </row>
    <row r="198">
      <c r="A198">
        <v>188</v>
      </c>
      <c r="B198" t="str">
        <v>14/11/2025</v>
      </c>
      <c r="C198" t="str">
        <v>NAGENDRA</v>
      </c>
      <c r="D198" t="str">
        <v>MALURU</v>
      </c>
      <c r="E198">
        <v>7348802931</v>
      </c>
      <c r="F198">
        <v>140</v>
      </c>
      <c r="G198">
        <v>8080</v>
      </c>
      <c r="H198">
        <f>G198*3/100</f>
        <v>242.4</v>
      </c>
      <c r="I198">
        <f>G198-H198</f>
        <v>7837.6</v>
      </c>
      <c r="J198">
        <v>18.9</v>
      </c>
      <c r="K198">
        <f>I198*J198</f>
        <v>148130.63999999998</v>
      </c>
      <c r="L198">
        <f>F198*5</f>
        <v>700</v>
      </c>
      <c r="P198">
        <f>K198-L198+M198-N198-O198</f>
        <v>147430.63999999998</v>
      </c>
      <c r="R198">
        <f>G198/F198</f>
        <v>57.714285714285715</v>
      </c>
    </row>
    <row r="199">
      <c r="A199">
        <v>189</v>
      </c>
      <c r="B199" t="str">
        <v>14/11/2025</v>
      </c>
      <c r="C199" t="str">
        <v>Nagarajappa</v>
      </c>
      <c r="D199" t="str">
        <v>MALURU</v>
      </c>
      <c r="E199">
        <v>9008210380</v>
      </c>
      <c r="F199">
        <v>39</v>
      </c>
      <c r="G199">
        <v>2350</v>
      </c>
      <c r="H199">
        <f>G199*3/100</f>
        <v>70.5</v>
      </c>
      <c r="I199">
        <f>G199-H199</f>
        <v>2279.5</v>
      </c>
      <c r="J199">
        <v>18.8</v>
      </c>
      <c r="K199">
        <f>I199*J199</f>
        <v>42854.6</v>
      </c>
      <c r="L199">
        <f>F199*5</f>
        <v>195</v>
      </c>
      <c r="P199">
        <f>K199-L199+M199-N199-O199</f>
        <v>42659.6</v>
      </c>
      <c r="R199">
        <f>G199/F199</f>
        <v>60.256410256410255</v>
      </c>
    </row>
    <row r="200">
      <c r="A200">
        <v>190</v>
      </c>
      <c r="B200" t="str">
        <v>14/11/2025</v>
      </c>
      <c r="C200" t="str">
        <v>CHANNAPA H A</v>
      </c>
      <c r="D200" t="str">
        <v>HONNALI</v>
      </c>
      <c r="E200">
        <v>9731716262</v>
      </c>
      <c r="F200">
        <v>35</v>
      </c>
      <c r="G200">
        <v>1960</v>
      </c>
      <c r="H200">
        <f>G200*3/100</f>
        <v>58.8</v>
      </c>
      <c r="I200">
        <f>G200-H200</f>
        <v>1901.2</v>
      </c>
      <c r="J200">
        <v>18.8</v>
      </c>
      <c r="K200">
        <f>I200*J200</f>
        <v>35742.560000000005</v>
      </c>
      <c r="L200">
        <f>F200*5</f>
        <v>175</v>
      </c>
      <c r="P200">
        <f>K200-L200+M200-N200-O200</f>
        <v>35567.560000000005</v>
      </c>
      <c r="R200">
        <f>G200/F200</f>
        <v>56</v>
      </c>
    </row>
    <row r="201">
      <c r="A201">
        <v>191</v>
      </c>
      <c r="B201" t="str">
        <v>14/11/2025</v>
      </c>
      <c r="C201" t="str">
        <v>SANTHSH</v>
      </c>
      <c r="D201" t="str">
        <v>HANVARI</v>
      </c>
      <c r="E201">
        <v>9538818445</v>
      </c>
      <c r="F201">
        <v>40</v>
      </c>
      <c r="G201">
        <v>2360</v>
      </c>
      <c r="H201">
        <f>G201*3/100</f>
        <v>70.8</v>
      </c>
      <c r="I201">
        <f>G201-H201</f>
        <v>2289.2</v>
      </c>
      <c r="J201">
        <v>18.8</v>
      </c>
      <c r="K201">
        <f>I201*J201</f>
        <v>43036.96</v>
      </c>
      <c r="L201">
        <f>F201*5</f>
        <v>200</v>
      </c>
      <c r="P201">
        <f>K201-L201+M201-N201-O201</f>
        <v>42836.96</v>
      </c>
      <c r="R201">
        <f>G201/F201</f>
        <v>59</v>
      </c>
    </row>
    <row r="202">
      <c r="A202">
        <v>192</v>
      </c>
      <c r="B202" t="str">
        <v>15/11/2025</v>
      </c>
      <c r="C202" t="str">
        <v>KIRAN KUMAR</v>
      </c>
      <c r="D202" t="str">
        <v>THAKHALLI</v>
      </c>
      <c r="E202">
        <v>9731262426</v>
      </c>
      <c r="F202">
        <v>84</v>
      </c>
      <c r="G202">
        <v>4920</v>
      </c>
      <c r="H202">
        <f>G202*3/100</f>
        <v>147.6</v>
      </c>
      <c r="I202">
        <f>G202-H202</f>
        <v>4772.4</v>
      </c>
      <c r="J202">
        <v>18.2</v>
      </c>
      <c r="K202">
        <f>I202*J202</f>
        <v>86857.68</v>
      </c>
      <c r="L202">
        <f>F202*5</f>
        <v>420</v>
      </c>
      <c r="P202">
        <f>K202-L202+M202-N202-O202</f>
        <v>86437.68</v>
      </c>
      <c r="R202">
        <f>G202/F202</f>
        <v>58.57142857142857</v>
      </c>
    </row>
    <row r="203">
      <c r="A203">
        <v>193</v>
      </c>
      <c r="B203" t="str">
        <v>15/11/2025</v>
      </c>
      <c r="C203" t="str">
        <v>PRASHATH</v>
      </c>
      <c r="D203" t="str">
        <v>BELEMALURU</v>
      </c>
      <c r="E203">
        <v>7259381969</v>
      </c>
      <c r="F203">
        <v>18</v>
      </c>
      <c r="G203">
        <v>1050</v>
      </c>
      <c r="H203">
        <f>G203*3/100</f>
        <v>31.5</v>
      </c>
      <c r="I203">
        <f>G203-H203</f>
        <v>1018.5</v>
      </c>
      <c r="J203">
        <v>18.8</v>
      </c>
      <c r="K203">
        <f>I203*J203</f>
        <v>19147.8</v>
      </c>
      <c r="L203">
        <f>F203*5</f>
        <v>90</v>
      </c>
      <c r="P203">
        <f>K203-L203+M203-N203-O203</f>
        <v>19057.8</v>
      </c>
      <c r="R203">
        <f>G203/F203</f>
        <v>58.333333333333336</v>
      </c>
    </row>
    <row r="204">
      <c r="A204">
        <v>194</v>
      </c>
      <c r="B204" t="str">
        <v>15/11/2025</v>
      </c>
      <c r="C204" t="str">
        <v>RAVI</v>
      </c>
      <c r="D204" t="str">
        <v>BELEMALURU</v>
      </c>
      <c r="E204">
        <v>6361708249</v>
      </c>
      <c r="F204">
        <v>40</v>
      </c>
      <c r="G204">
        <v>2250</v>
      </c>
      <c r="H204">
        <f>G204*3/100</f>
        <v>67.5</v>
      </c>
      <c r="I204">
        <f>G204-H204</f>
        <v>2182.5</v>
      </c>
      <c r="J204">
        <v>18.8</v>
      </c>
      <c r="K204">
        <f>I204*J204</f>
        <v>41031</v>
      </c>
      <c r="L204">
        <f>F204*5</f>
        <v>200</v>
      </c>
      <c r="P204">
        <f>K204-L204+M204-N204-O204</f>
        <v>40831</v>
      </c>
      <c r="R204">
        <f>G204/F204</f>
        <v>56.25</v>
      </c>
    </row>
    <row r="205">
      <c r="A205">
        <v>195</v>
      </c>
      <c r="B205" t="str">
        <v>15/11/2025</v>
      </c>
      <c r="C205" t="str">
        <v>VARADRAJ</v>
      </c>
      <c r="D205" t="str">
        <v>BELEMALURU</v>
      </c>
      <c r="E205">
        <v>9731989288</v>
      </c>
      <c r="F205">
        <v>10</v>
      </c>
      <c r="G205">
        <v>580</v>
      </c>
      <c r="H205">
        <f>G205*3/100</f>
        <v>17.4</v>
      </c>
      <c r="I205">
        <f>G205-H205</f>
        <v>562.6</v>
      </c>
      <c r="J205">
        <v>18.7</v>
      </c>
      <c r="K205">
        <f>I205*J205</f>
        <v>10520.62</v>
      </c>
      <c r="L205">
        <f>F205*5</f>
        <v>50</v>
      </c>
      <c r="P205">
        <f>K205-L205+M205-N205-O205</f>
        <v>10470.62</v>
      </c>
      <c r="R205">
        <f>G205/F205</f>
        <v>58</v>
      </c>
    </row>
    <row r="206">
      <c r="A206">
        <v>196</v>
      </c>
      <c r="B206" t="str">
        <v>15/11/2025</v>
      </c>
      <c r="C206" t="str">
        <v>THIPESHAPPA</v>
      </c>
      <c r="D206" t="str">
        <v>KAMALAPURA</v>
      </c>
      <c r="E206">
        <v>9743876389</v>
      </c>
      <c r="F206">
        <v>84</v>
      </c>
      <c r="G206">
        <v>4820</v>
      </c>
      <c r="H206">
        <v>0</v>
      </c>
      <c r="I206">
        <f>G206-H206</f>
        <v>4820</v>
      </c>
      <c r="J206">
        <v>19</v>
      </c>
      <c r="K206">
        <f>I206*J206</f>
        <v>91580</v>
      </c>
      <c r="L206">
        <f>F206*5</f>
        <v>420</v>
      </c>
      <c r="P206">
        <f>K206-L206+M206-N206-O206</f>
        <v>91160</v>
      </c>
      <c r="R206">
        <f>G206/F206</f>
        <v>57.38095238095238</v>
      </c>
    </row>
    <row r="207">
      <c r="A207">
        <v>197</v>
      </c>
      <c r="B207" t="str">
        <v>15/11/2025</v>
      </c>
      <c r="C207" t="str">
        <v>CHANNESHA</v>
      </c>
      <c r="D207" t="str">
        <v>HONNALI</v>
      </c>
      <c r="E207">
        <v>9986221220</v>
      </c>
      <c r="F207">
        <v>24</v>
      </c>
      <c r="G207">
        <v>1400</v>
      </c>
      <c r="H207">
        <f>G207*3/100</f>
        <v>42</v>
      </c>
      <c r="I207">
        <f>G207-H207</f>
        <v>1358</v>
      </c>
      <c r="J207">
        <v>18.5</v>
      </c>
      <c r="K207">
        <f>I207*J207</f>
        <v>25123</v>
      </c>
      <c r="L207">
        <f>F207*5</f>
        <v>120</v>
      </c>
      <c r="P207">
        <f>K207-L207+M207-N207-O207</f>
        <v>25003</v>
      </c>
      <c r="R207">
        <f>G207/F207</f>
        <v>58.333333333333336</v>
      </c>
    </row>
    <row r="208">
      <c r="A208">
        <v>198</v>
      </c>
      <c r="B208" t="str">
        <v>15/11/2025</v>
      </c>
      <c r="C208" t="str">
        <v>BASAVANA GOWDA</v>
      </c>
      <c r="D208" t="str">
        <v>HOLEHARHALLI</v>
      </c>
      <c r="E208">
        <v>9632114956</v>
      </c>
      <c r="F208">
        <v>83</v>
      </c>
      <c r="G208">
        <v>4840</v>
      </c>
      <c r="H208">
        <f>G208*3/100</f>
        <v>145.2</v>
      </c>
      <c r="I208">
        <f>G208-H208</f>
        <v>4694.8</v>
      </c>
      <c r="J208">
        <v>18.8</v>
      </c>
      <c r="K208">
        <f>I208*J208</f>
        <v>88262.24</v>
      </c>
      <c r="L208">
        <f>F208*5</f>
        <v>415</v>
      </c>
      <c r="P208">
        <f>K208-L208+M208-N208-O208</f>
        <v>87847.24</v>
      </c>
      <c r="R208">
        <f>G208/F208</f>
        <v>58.31325301204819</v>
      </c>
    </row>
    <row r="209">
      <c r="A209">
        <v>199</v>
      </c>
      <c r="B209" t="str">
        <v>15/11/2025</v>
      </c>
      <c r="C209" t="str">
        <v>MANJUNATH</v>
      </c>
      <c r="D209" t="str">
        <v>NARSAHALLLI</v>
      </c>
      <c r="E209">
        <v>9482137955</v>
      </c>
      <c r="F209">
        <v>50</v>
      </c>
      <c r="G209">
        <v>2880</v>
      </c>
      <c r="H209">
        <f>G209*3/100</f>
        <v>86.4</v>
      </c>
      <c r="I209">
        <f>G209-H209</f>
        <v>2793.6</v>
      </c>
      <c r="J209">
        <v>18.8</v>
      </c>
      <c r="K209">
        <f>I209*J209</f>
        <v>52519.68</v>
      </c>
      <c r="L209">
        <f>F209*5</f>
        <v>250</v>
      </c>
      <c r="P209">
        <f>K209-L209+M209-N209-O209</f>
        <v>52269.68</v>
      </c>
      <c r="R209">
        <f>G209/F209</f>
        <v>57.6</v>
      </c>
    </row>
    <row r="210">
      <c r="A210">
        <v>200</v>
      </c>
      <c r="B210" t="str">
        <v>15/11/2025</v>
      </c>
      <c r="C210" t="str">
        <v>KIRASAHANNA</v>
      </c>
      <c r="D210" t="str">
        <v>NARSAHALLLI</v>
      </c>
      <c r="E210">
        <v>9482137955</v>
      </c>
      <c r="F210">
        <v>60</v>
      </c>
      <c r="G210">
        <v>3510</v>
      </c>
      <c r="H210">
        <f>G210*3/100</f>
        <v>105.3</v>
      </c>
      <c r="I210">
        <f>G210-H210</f>
        <v>3404.7</v>
      </c>
      <c r="J210">
        <v>18.8</v>
      </c>
      <c r="K210">
        <f>I210*J210</f>
        <v>64008.36</v>
      </c>
      <c r="L210">
        <f>F210*5</f>
        <v>300</v>
      </c>
      <c r="P210">
        <f>K210-L210+M210-N210-O210</f>
        <v>63708.36</v>
      </c>
      <c r="R210">
        <f>G210/F210</f>
        <v>58.5</v>
      </c>
    </row>
    <row r="211">
      <c r="A211">
        <v>201</v>
      </c>
      <c r="B211" t="str">
        <v>15/11/2025</v>
      </c>
      <c r="C211" t="str">
        <v>BENKESHI</v>
      </c>
      <c r="D211" t="str">
        <v>BELEMALURU</v>
      </c>
      <c r="F211">
        <v>21</v>
      </c>
      <c r="G211">
        <v>1250</v>
      </c>
      <c r="H211">
        <f>G211*3/100</f>
        <v>37.5</v>
      </c>
      <c r="I211">
        <f>G211-H211</f>
        <v>1212.5</v>
      </c>
      <c r="J211">
        <v>18.8</v>
      </c>
      <c r="K211">
        <f>I211*J211</f>
        <v>22795</v>
      </c>
      <c r="L211">
        <f>F211*5</f>
        <v>105</v>
      </c>
      <c r="N211">
        <v>1000</v>
      </c>
      <c r="P211">
        <f>K211-L211+M211-N211-O211</f>
        <v>21690</v>
      </c>
      <c r="R211">
        <f>G211/F211</f>
        <v>59.523809523809526</v>
      </c>
    </row>
    <row r="212">
      <c r="A212">
        <v>202</v>
      </c>
      <c r="B212" t="str">
        <v>15/11/2025</v>
      </c>
      <c r="C212" t="str">
        <v>NANDHI</v>
      </c>
      <c r="D212" t="str">
        <v>HARHALLI</v>
      </c>
      <c r="E212">
        <v>9986774161</v>
      </c>
      <c r="F212">
        <v>58</v>
      </c>
      <c r="G212">
        <v>3180</v>
      </c>
      <c r="H212">
        <f>G212*3/100</f>
        <v>95.4</v>
      </c>
      <c r="I212">
        <f>G212-H212</f>
        <v>3084.6</v>
      </c>
      <c r="J212">
        <v>19</v>
      </c>
      <c r="K212">
        <f>I212*J212</f>
        <v>58607.4</v>
      </c>
      <c r="L212">
        <f>F212*5</f>
        <v>290</v>
      </c>
      <c r="P212">
        <f>K212-L212+M212-N212-O212</f>
        <v>58317.4</v>
      </c>
      <c r="R212">
        <f>G212/F212</f>
        <v>54.827586206896555</v>
      </c>
    </row>
    <row r="213">
      <c r="A213">
        <v>203</v>
      </c>
      <c r="B213" t="str">
        <v>15/11/2025</v>
      </c>
      <c r="C213" t="str">
        <v>MARUTHI</v>
      </c>
      <c r="D213" t="str">
        <v>HARHALLI</v>
      </c>
      <c r="E213">
        <v>9986774161</v>
      </c>
      <c r="F213">
        <v>24</v>
      </c>
      <c r="G213">
        <v>1390</v>
      </c>
      <c r="H213">
        <f>G213*3/100</f>
        <v>41.7</v>
      </c>
      <c r="I213">
        <f>G213-H213</f>
        <v>1348.3</v>
      </c>
      <c r="J213">
        <v>18.7</v>
      </c>
      <c r="K213">
        <f>I213*J213</f>
        <v>25213.21</v>
      </c>
      <c r="L213">
        <f>F213*5</f>
        <v>120</v>
      </c>
      <c r="P213">
        <f>K213-L213+M213-N213-O213</f>
        <v>25093.21</v>
      </c>
      <c r="R213">
        <f>G213/F213</f>
        <v>57.916666666666664</v>
      </c>
    </row>
    <row r="214">
      <c r="A214">
        <v>204</v>
      </c>
      <c r="B214" t="str">
        <v>16/11/2025</v>
      </c>
      <c r="C214" t="str">
        <v>MANJU</v>
      </c>
      <c r="D214" t="str">
        <v>HAMMALI</v>
      </c>
      <c r="F214">
        <v>6</v>
      </c>
      <c r="G214">
        <v>328</v>
      </c>
      <c r="H214">
        <f>G214*3/100</f>
        <v>9.84</v>
      </c>
      <c r="I214">
        <f>G214-H214</f>
        <v>318.16</v>
      </c>
      <c r="J214">
        <v>18.8</v>
      </c>
      <c r="K214">
        <f>I214*J214</f>
        <v>5981.408</v>
      </c>
      <c r="L214">
        <f>F214*5</f>
        <v>30</v>
      </c>
      <c r="P214">
        <f>K214-L214+M214-N214-O214</f>
        <v>5951.408</v>
      </c>
      <c r="R214">
        <f>G214/F214</f>
        <v>54.666666666666664</v>
      </c>
    </row>
    <row r="215">
      <c r="A215">
        <v>205</v>
      </c>
      <c r="B215" t="str">
        <v>16/11/2025</v>
      </c>
      <c r="C215" t="str">
        <v>HARISH</v>
      </c>
      <c r="D215" t="str">
        <v>HARHALLI</v>
      </c>
      <c r="E215">
        <v>7483759838</v>
      </c>
      <c r="F215">
        <v>33</v>
      </c>
      <c r="G215">
        <v>1920</v>
      </c>
      <c r="H215">
        <f>G215*3/100</f>
        <v>57.6</v>
      </c>
      <c r="I215">
        <f>G215-H215</f>
        <v>1862.4</v>
      </c>
      <c r="J215">
        <v>18.85</v>
      </c>
      <c r="K215">
        <f>I215*J215</f>
        <v>35106.240000000005</v>
      </c>
      <c r="L215">
        <f>F215*5</f>
        <v>165</v>
      </c>
      <c r="P215">
        <f>K215-L215+M215-N215-O215</f>
        <v>34941.240000000005</v>
      </c>
      <c r="R215">
        <f>G215/F215</f>
        <v>58.18181818181818</v>
      </c>
    </row>
    <row r="216">
      <c r="A216">
        <v>206</v>
      </c>
      <c r="B216" t="str">
        <v>16/11/2025</v>
      </c>
      <c r="C216" t="str">
        <v>RANGAPPA</v>
      </c>
      <c r="D216" t="str">
        <v>MASDI</v>
      </c>
      <c r="E216">
        <v>7353218276</v>
      </c>
      <c r="F216">
        <v>46</v>
      </c>
      <c r="G216">
        <v>2610</v>
      </c>
      <c r="H216">
        <f>G216*3/100</f>
        <v>78.3</v>
      </c>
      <c r="I216">
        <f>G216-H216</f>
        <v>2531.7</v>
      </c>
      <c r="J216">
        <v>18.2</v>
      </c>
      <c r="K216">
        <f>I216*J216</f>
        <v>46076.939999999995</v>
      </c>
      <c r="L216">
        <f>F216*5</f>
        <v>230</v>
      </c>
      <c r="P216">
        <f>K216-L216+M216-N216-O216</f>
        <v>45846.939999999995</v>
      </c>
      <c r="R216">
        <f>G216/F216</f>
        <v>56.73913043478261</v>
      </c>
    </row>
    <row r="217">
      <c r="A217">
        <v>207</v>
      </c>
      <c r="B217" t="str">
        <v>16/11/2025</v>
      </c>
      <c r="C217" t="str">
        <v>PALASHAPPA</v>
      </c>
      <c r="D217" t="str">
        <v>MASDI</v>
      </c>
      <c r="E217">
        <v>7353218276</v>
      </c>
      <c r="F217">
        <v>68</v>
      </c>
      <c r="G217">
        <v>3860</v>
      </c>
      <c r="H217">
        <f>G217*3/100</f>
        <v>115.8</v>
      </c>
      <c r="I217">
        <f>G217-H217</f>
        <v>3744.2</v>
      </c>
      <c r="J217">
        <v>18.35</v>
      </c>
      <c r="K217">
        <f>I217*J217</f>
        <v>68706.07</v>
      </c>
      <c r="L217">
        <f>F217*5</f>
        <v>340</v>
      </c>
      <c r="P217">
        <f>K217-L217+M217-N217-O217</f>
        <v>68366.07</v>
      </c>
      <c r="R217">
        <f>G217/F217</f>
        <v>56.76470588235294</v>
      </c>
    </row>
    <row r="218">
      <c r="A218">
        <v>208</v>
      </c>
      <c r="B218" t="str">
        <v>16/11/2025</v>
      </c>
      <c r="C218" t="str">
        <v>SAGAR</v>
      </c>
      <c r="D218" t="str">
        <v>GOLARAHALLI</v>
      </c>
      <c r="E218">
        <v>8431056779</v>
      </c>
      <c r="F218">
        <v>65</v>
      </c>
      <c r="G218">
        <v>3710</v>
      </c>
      <c r="H218">
        <f>G218*3/100</f>
        <v>111.3</v>
      </c>
      <c r="I218">
        <f>G218-H218</f>
        <v>3598.7</v>
      </c>
      <c r="J218">
        <v>18.55</v>
      </c>
      <c r="K218">
        <f>I218*J218</f>
        <v>66755.885</v>
      </c>
      <c r="L218">
        <f>F218*5</f>
        <v>325</v>
      </c>
      <c r="P218">
        <f>K218-L218+M218-N218-O218</f>
        <v>66430.885</v>
      </c>
      <c r="R218">
        <f>G218/F218</f>
        <v>57.07692307692308</v>
      </c>
    </row>
    <row r="219">
      <c r="A219">
        <v>209</v>
      </c>
      <c r="B219" t="str">
        <v>17/11/2025</v>
      </c>
      <c r="C219" t="str">
        <v>THIRANNA</v>
      </c>
      <c r="D219" t="str">
        <v>ARABGATTE</v>
      </c>
      <c r="E219">
        <v>7676285615</v>
      </c>
      <c r="F219">
        <v>251</v>
      </c>
      <c r="G219">
        <v>14930</v>
      </c>
      <c r="H219">
        <f>G219*3/100</f>
        <v>447.9</v>
      </c>
      <c r="I219">
        <f>G219-H219</f>
        <v>14482.1</v>
      </c>
      <c r="J219">
        <v>18.8</v>
      </c>
      <c r="K219">
        <f>I219*J219</f>
        <v>272263.48000000004</v>
      </c>
      <c r="L219">
        <f>F219*5</f>
        <v>1255</v>
      </c>
      <c r="N219">
        <v>11500</v>
      </c>
      <c r="P219">
        <f>K219-L219+M219-N219-O219</f>
        <v>259508.48000000004</v>
      </c>
      <c r="R219">
        <f>G219/F219</f>
        <v>59.48207171314741</v>
      </c>
    </row>
    <row r="220">
      <c r="A220">
        <v>210</v>
      </c>
      <c r="B220" t="str">
        <v>17/11/2025</v>
      </c>
      <c r="C220" t="str">
        <v>RAJU</v>
      </c>
      <c r="D220" t="str">
        <v>KONAYAKAHALLI</v>
      </c>
      <c r="E220">
        <v>9901188189</v>
      </c>
      <c r="F220">
        <v>66</v>
      </c>
      <c r="G220">
        <v>3870</v>
      </c>
      <c r="H220">
        <f>G220*3/100</f>
        <v>116.1</v>
      </c>
      <c r="I220">
        <f>G220-H220</f>
        <v>3753.9</v>
      </c>
      <c r="J220">
        <v>18.6</v>
      </c>
      <c r="K220">
        <f>I220*J220</f>
        <v>69822.54000000001</v>
      </c>
      <c r="L220">
        <f>F220*5</f>
        <v>330</v>
      </c>
      <c r="P220">
        <f>K220-L220+M220-N220-O220</f>
        <v>69492.54000000001</v>
      </c>
      <c r="R220">
        <f>G220/F220</f>
        <v>58.63636363636363</v>
      </c>
    </row>
    <row r="221">
      <c r="A221">
        <v>211</v>
      </c>
      <c r="B221" t="str">
        <v>17/11/2025</v>
      </c>
      <c r="C221" t="str">
        <v>PRAVEEN</v>
      </c>
      <c r="D221" t="str">
        <v>KONAYAKAHALLI</v>
      </c>
      <c r="E221">
        <v>8310537525</v>
      </c>
      <c r="F221">
        <v>13</v>
      </c>
      <c r="G221">
        <v>760</v>
      </c>
      <c r="H221">
        <f>G221*3/100</f>
        <v>22.8</v>
      </c>
      <c r="I221">
        <f>G221-H221</f>
        <v>737.2</v>
      </c>
      <c r="J221">
        <v>18.5</v>
      </c>
      <c r="K221">
        <f>I221*J221</f>
        <v>13638.2</v>
      </c>
      <c r="L221">
        <f>F221*5</f>
        <v>65</v>
      </c>
      <c r="P221">
        <f>K221-L221+M221-N221-O221</f>
        <v>13573.2</v>
      </c>
      <c r="R221">
        <f>G221/F221</f>
        <v>58.46153846153846</v>
      </c>
    </row>
    <row r="222">
      <c r="A222">
        <v>212</v>
      </c>
      <c r="B222" t="str">
        <v>17/11/2025</v>
      </c>
      <c r="C222" t="str">
        <v>RAGANATH</v>
      </c>
      <c r="D222" t="str">
        <v>GOLARAHALLI</v>
      </c>
      <c r="E222">
        <v>9036256595</v>
      </c>
      <c r="F222">
        <v>132</v>
      </c>
      <c r="G222">
        <v>6900</v>
      </c>
      <c r="H222">
        <f>G222*3/100</f>
        <v>207</v>
      </c>
      <c r="I222">
        <f>G222-H222</f>
        <v>6693</v>
      </c>
      <c r="J222">
        <v>18.8</v>
      </c>
      <c r="K222">
        <f>I222*J222</f>
        <v>125828.40000000001</v>
      </c>
      <c r="L222">
        <f>F222*5</f>
        <v>660</v>
      </c>
      <c r="P222">
        <f>K222-L222+M222-N222-O222</f>
        <v>125168.40000000001</v>
      </c>
      <c r="R222">
        <f>G222/F222</f>
        <v>52.27272727272727</v>
      </c>
    </row>
    <row r="223">
      <c r="A223">
        <v>213</v>
      </c>
      <c r="B223" t="str">
        <v>17/11/2025</v>
      </c>
      <c r="C223" t="str">
        <v>ANNAPA</v>
      </c>
      <c r="D223" t="str">
        <v>ARABGATTE</v>
      </c>
      <c r="E223">
        <v>9964176683</v>
      </c>
      <c r="F223">
        <v>36</v>
      </c>
      <c r="G223">
        <v>2100</v>
      </c>
      <c r="H223">
        <f>G223*3/100</f>
        <v>63</v>
      </c>
      <c r="I223">
        <f>G223-H223</f>
        <v>2037</v>
      </c>
      <c r="J223">
        <v>18.8</v>
      </c>
      <c r="K223">
        <f>I223*J223</f>
        <v>38295.6</v>
      </c>
      <c r="L223">
        <f>F223*5</f>
        <v>180</v>
      </c>
      <c r="N223">
        <v>2000</v>
      </c>
      <c r="P223">
        <f>K223-L223+M223-N223-O223</f>
        <v>36115.6</v>
      </c>
      <c r="R223">
        <f>G223/F223</f>
        <v>58.333333333333336</v>
      </c>
    </row>
    <row r="224">
      <c r="A224">
        <v>214</v>
      </c>
      <c r="B224" t="str">
        <v>17/11/2025</v>
      </c>
      <c r="C224" t="str">
        <v>NAVEEN</v>
      </c>
      <c r="D224" t="str">
        <v>KONAYAKAHALLI</v>
      </c>
      <c r="F224">
        <v>49</v>
      </c>
      <c r="G224">
        <v>2950</v>
      </c>
      <c r="H224">
        <f>G224*3/100</f>
        <v>88.5</v>
      </c>
      <c r="I224">
        <f>G224-H224</f>
        <v>2861.5</v>
      </c>
      <c r="J224">
        <v>18.6</v>
      </c>
      <c r="K224">
        <f>I224*J224</f>
        <v>53223.9</v>
      </c>
      <c r="L224">
        <f>F224*5</f>
        <v>245</v>
      </c>
      <c r="P224">
        <f>K224-L224+M224-N224-O224</f>
        <v>52978.9</v>
      </c>
      <c r="R224">
        <f>G224/F224</f>
        <v>60.204081632653065</v>
      </c>
    </row>
    <row r="225">
      <c r="A225">
        <v>215</v>
      </c>
      <c r="B225" t="str">
        <v>17/11/2025</v>
      </c>
      <c r="C225" t="str">
        <v>PRASHANTH</v>
      </c>
      <c r="D225" t="str">
        <v>KONAYAKAHALLI</v>
      </c>
      <c r="F225">
        <v>41</v>
      </c>
      <c r="G225">
        <v>2390</v>
      </c>
      <c r="H225">
        <f>G225*3/100</f>
        <v>71.7</v>
      </c>
      <c r="I225">
        <f>G225-H225</f>
        <v>2318.3</v>
      </c>
      <c r="J225">
        <v>18.6</v>
      </c>
      <c r="K225">
        <f>I225*J225</f>
        <v>43120.380000000005</v>
      </c>
      <c r="L225">
        <f>F225*5</f>
        <v>205</v>
      </c>
      <c r="P225">
        <f>K225-L225+M225-N225-O225</f>
        <v>42915.380000000005</v>
      </c>
      <c r="R225">
        <f>G225/F225</f>
        <v>58.292682926829265</v>
      </c>
    </row>
    <row r="226">
      <c r="A226">
        <v>216</v>
      </c>
      <c r="B226" t="str">
        <v>17/11/2025</v>
      </c>
      <c r="C226" t="str">
        <v>MAHESH</v>
      </c>
      <c r="D226" t="str">
        <v>KONAYAKAHALLI</v>
      </c>
      <c r="E226">
        <v>9731309310</v>
      </c>
      <c r="F226">
        <v>74</v>
      </c>
      <c r="G226">
        <v>4290</v>
      </c>
      <c r="H226">
        <f>G226*3/100</f>
        <v>128.7</v>
      </c>
      <c r="I226">
        <f>G226-H226</f>
        <v>4161.3</v>
      </c>
      <c r="J226">
        <v>18.6</v>
      </c>
      <c r="K226">
        <f>I226*J226</f>
        <v>77400.18000000001</v>
      </c>
      <c r="L226">
        <f>F226*5</f>
        <v>370</v>
      </c>
      <c r="P226">
        <f>K226-L226+M226-N226-O226</f>
        <v>77030.18000000001</v>
      </c>
      <c r="R226">
        <f>G226/F226</f>
        <v>57.972972972972975</v>
      </c>
    </row>
    <row r="227">
      <c r="A227">
        <v>217</v>
      </c>
      <c r="B227" t="str">
        <v>17/11/2025</v>
      </c>
      <c r="C227" t="str">
        <v>SURESH</v>
      </c>
      <c r="D227" t="str">
        <v>BELEMALURU</v>
      </c>
      <c r="E227">
        <v>9482362896</v>
      </c>
      <c r="F227">
        <v>55</v>
      </c>
      <c r="G227">
        <v>3300</v>
      </c>
      <c r="H227">
        <f>G227*3/100</f>
        <v>99</v>
      </c>
      <c r="I227">
        <f>G227-H227</f>
        <v>3201</v>
      </c>
      <c r="J227">
        <v>18.8</v>
      </c>
      <c r="K227">
        <f>I227*J227</f>
        <v>60178.8</v>
      </c>
      <c r="L227">
        <f>F227*5</f>
        <v>275</v>
      </c>
      <c r="P227">
        <f>K227-L227+M227-N227-O227</f>
        <v>59903.8</v>
      </c>
      <c r="R227">
        <f>G227/F227</f>
        <v>60</v>
      </c>
    </row>
    <row r="228">
      <c r="A228">
        <v>218</v>
      </c>
      <c r="B228" t="str">
        <v>17/11/2025</v>
      </c>
      <c r="C228" t="str">
        <v>SWAMI</v>
      </c>
      <c r="D228" t="str">
        <v>ARABATTE</v>
      </c>
      <c r="E228">
        <v>9986414053</v>
      </c>
      <c r="F228">
        <v>24</v>
      </c>
      <c r="G228">
        <v>1420</v>
      </c>
      <c r="H228">
        <f>G228*3/100</f>
        <v>42.6</v>
      </c>
      <c r="I228">
        <f>G228-H228</f>
        <v>1377.4</v>
      </c>
      <c r="J228">
        <v>18.8</v>
      </c>
      <c r="K228">
        <f>I228*J228</f>
        <v>25895.120000000003</v>
      </c>
      <c r="L228">
        <f>F228*5</f>
        <v>120</v>
      </c>
      <c r="P228">
        <f>K228-L228+M228-N228-O228</f>
        <v>25775.120000000003</v>
      </c>
      <c r="R228">
        <f>G228/F228</f>
        <v>59.166666666666664</v>
      </c>
    </row>
    <row r="229">
      <c r="A229">
        <v>219</v>
      </c>
      <c r="B229" t="str">
        <v>17/11/2025</v>
      </c>
      <c r="C229" t="str">
        <v>SHIVANAD</v>
      </c>
      <c r="D229" t="str">
        <v>JEGALI</v>
      </c>
      <c r="E229">
        <v>8310948349</v>
      </c>
      <c r="F229">
        <v>36</v>
      </c>
      <c r="G229">
        <v>2200</v>
      </c>
      <c r="H229">
        <f>G229*3/100</f>
        <v>66</v>
      </c>
      <c r="I229">
        <f>G229-H229</f>
        <v>2134</v>
      </c>
      <c r="J229">
        <v>18.5</v>
      </c>
      <c r="K229">
        <f>I229*J229</f>
        <v>39479</v>
      </c>
      <c r="L229">
        <f>F229*5</f>
        <v>180</v>
      </c>
      <c r="P229">
        <f>K229-L229+M229-N229-O229</f>
        <v>39299</v>
      </c>
      <c r="R229">
        <f>G229/F229</f>
        <v>61.111111111111114</v>
      </c>
    </row>
    <row r="230">
      <c r="A230">
        <v>220</v>
      </c>
      <c r="B230" t="str">
        <v>17/11/2025</v>
      </c>
      <c r="C230" t="str">
        <v>SHAMI ULLA</v>
      </c>
      <c r="D230" t="str">
        <v>HOLEHARHALLI</v>
      </c>
      <c r="E230">
        <v>9448975214</v>
      </c>
      <c r="F230">
        <v>86</v>
      </c>
      <c r="G230">
        <v>5050</v>
      </c>
      <c r="H230">
        <f>G230*3/100</f>
        <v>151.5</v>
      </c>
      <c r="I230">
        <f>G230-H230</f>
        <v>4898.5</v>
      </c>
      <c r="J230">
        <v>18.8</v>
      </c>
      <c r="K230">
        <f>I230*J230</f>
        <v>92091.8</v>
      </c>
      <c r="L230">
        <f>F230*5</f>
        <v>430</v>
      </c>
      <c r="P230">
        <f>K230-L230+M230-N230-O230</f>
        <v>91661.8</v>
      </c>
      <c r="R230">
        <f>G230/F230</f>
        <v>58.72093023255814</v>
      </c>
    </row>
    <row r="231">
      <c r="A231">
        <v>221</v>
      </c>
      <c r="B231" t="str">
        <v>17/11/2025</v>
      </c>
      <c r="C231" t="str">
        <v>DADU SAB</v>
      </c>
      <c r="D231" t="str">
        <v>HOLEHARHALLI</v>
      </c>
      <c r="E231">
        <v>7259215691</v>
      </c>
      <c r="F231">
        <v>86</v>
      </c>
      <c r="G231">
        <v>5030</v>
      </c>
      <c r="H231">
        <f>G231*3/100</f>
        <v>150.9</v>
      </c>
      <c r="I231">
        <f>G231-H231</f>
        <v>4879.1</v>
      </c>
      <c r="J231">
        <v>18.8</v>
      </c>
      <c r="K231">
        <f>I231*J231</f>
        <v>91727.08000000002</v>
      </c>
      <c r="L231">
        <f>F231*5</f>
        <v>430</v>
      </c>
      <c r="P231">
        <f>K231-L231+M231-N231-O231</f>
        <v>91297.08000000002</v>
      </c>
      <c r="R231">
        <f>G231/F231</f>
        <v>58.48837209302326</v>
      </c>
    </row>
    <row r="232">
      <c r="A232">
        <v>222</v>
      </c>
      <c r="B232" t="str">
        <v>17/11/2025</v>
      </c>
      <c r="C232" t="str">
        <v>PRABAIYA</v>
      </c>
      <c r="D232" t="str">
        <v>BIDRAGADE</v>
      </c>
      <c r="E232">
        <v>9980883314</v>
      </c>
      <c r="F232">
        <v>60</v>
      </c>
      <c r="G232">
        <v>3570</v>
      </c>
      <c r="H232">
        <f>G232*3/100</f>
        <v>107.1</v>
      </c>
      <c r="I232">
        <f>G232-H232</f>
        <v>3462.9</v>
      </c>
      <c r="J232">
        <v>18.5</v>
      </c>
      <c r="K232">
        <f>I232*J232</f>
        <v>64063.65</v>
      </c>
      <c r="L232">
        <f>F232*5</f>
        <v>300</v>
      </c>
      <c r="P232">
        <f>K232-L232+M232-N232-O232</f>
        <v>63763.65</v>
      </c>
      <c r="R232">
        <f>G232/F232</f>
        <v>59.5</v>
      </c>
    </row>
    <row r="233">
      <c r="A233">
        <v>223</v>
      </c>
      <c r="B233" t="str">
        <v>18/11/2025</v>
      </c>
      <c r="C233" t="str">
        <v>SANJIVA</v>
      </c>
      <c r="D233" t="str">
        <v>HONNALI</v>
      </c>
      <c r="E233">
        <v>7406845525</v>
      </c>
      <c r="F233">
        <v>20</v>
      </c>
      <c r="G233">
        <v>1140</v>
      </c>
      <c r="H233">
        <f>G233*3/100</f>
        <v>34.2</v>
      </c>
      <c r="I233">
        <f>G233-H233</f>
        <v>1105.8</v>
      </c>
      <c r="J233">
        <v>18.7</v>
      </c>
      <c r="K233">
        <f>I233*J233</f>
        <v>20678.46</v>
      </c>
      <c r="L233">
        <f>F233*5</f>
        <v>100</v>
      </c>
      <c r="P233">
        <f>K233-L233+M233-N233-O233</f>
        <v>20578.46</v>
      </c>
      <c r="R233">
        <f>G233/F233</f>
        <v>57</v>
      </c>
    </row>
    <row r="234">
      <c r="A234">
        <v>224</v>
      </c>
      <c r="B234" t="str">
        <v>18/11/2025</v>
      </c>
      <c r="C234" t="str">
        <v>NARASHIMMA</v>
      </c>
      <c r="D234" t="str">
        <v>GOLARAHALLI</v>
      </c>
      <c r="E234">
        <v>8088611952</v>
      </c>
      <c r="F234">
        <v>76</v>
      </c>
      <c r="G234">
        <v>4340</v>
      </c>
      <c r="H234">
        <f>G234*3/100</f>
        <v>130.2</v>
      </c>
      <c r="I234">
        <f>G234-H234</f>
        <v>4209.8</v>
      </c>
      <c r="J234">
        <v>18.75</v>
      </c>
      <c r="K234">
        <f>I234*J234</f>
        <v>78933.75</v>
      </c>
      <c r="L234">
        <f>F234*5</f>
        <v>380</v>
      </c>
      <c r="P234">
        <f>K234-L234+M234-N234-O234</f>
        <v>78553.75</v>
      </c>
      <c r="R234">
        <f>G234/F234</f>
        <v>57.10526315789474</v>
      </c>
    </row>
    <row r="235">
      <c r="A235">
        <v>225</v>
      </c>
      <c r="B235" t="str">
        <v>18/11/2025</v>
      </c>
      <c r="C235" t="str">
        <v>AVINAS</v>
      </c>
      <c r="D235" t="str">
        <v>HOLEMADAPURA</v>
      </c>
      <c r="E235">
        <v>7259382491</v>
      </c>
      <c r="F235">
        <v>85</v>
      </c>
      <c r="G235">
        <v>5020</v>
      </c>
      <c r="H235">
        <f>G235*3/100</f>
        <v>150.6</v>
      </c>
      <c r="I235">
        <f>G235-H235</f>
        <v>4869.4</v>
      </c>
      <c r="J235">
        <v>18.9</v>
      </c>
      <c r="K235">
        <f>I235*J235</f>
        <v>92031.65999999999</v>
      </c>
      <c r="L235">
        <f>F235*5</f>
        <v>425</v>
      </c>
      <c r="P235">
        <f>K235-L235+M235-N235-O235</f>
        <v>91606.65999999999</v>
      </c>
      <c r="R235">
        <f>G235/F235</f>
        <v>59.05882352941177</v>
      </c>
    </row>
    <row r="236">
      <c r="A236">
        <v>226</v>
      </c>
      <c r="B236" t="str">
        <v>18/11/2025</v>
      </c>
      <c r="C236" t="str">
        <v>PUTTAPPA</v>
      </c>
      <c r="D236" t="str">
        <v>HONNALI</v>
      </c>
      <c r="E236">
        <v>9620326744</v>
      </c>
      <c r="F236">
        <v>45</v>
      </c>
      <c r="G236">
        <v>2620</v>
      </c>
      <c r="H236">
        <f>G236*3/100</f>
        <v>78.6</v>
      </c>
      <c r="I236">
        <f>G236-H236</f>
        <v>2541.4</v>
      </c>
      <c r="J236">
        <v>18.85</v>
      </c>
      <c r="K236">
        <f>I236*J236</f>
        <v>47905.39000000001</v>
      </c>
      <c r="L236">
        <f>F236*5</f>
        <v>225</v>
      </c>
      <c r="P236">
        <f>K236-L236+M236-N236-O236</f>
        <v>47680.39000000001</v>
      </c>
      <c r="R236">
        <f>G236/F236</f>
        <v>58.22222222222222</v>
      </c>
    </row>
    <row r="237">
      <c r="A237">
        <v>227</v>
      </c>
      <c r="B237" t="str">
        <v>18/11/2025</v>
      </c>
      <c r="C237" t="str">
        <v>MANJU</v>
      </c>
      <c r="D237" t="str">
        <v>KONAYAKAHALLI</v>
      </c>
      <c r="E237">
        <v>9731024491</v>
      </c>
      <c r="F237">
        <v>54</v>
      </c>
      <c r="G237">
        <v>3260</v>
      </c>
      <c r="H237">
        <f>G237*3/100</f>
        <v>97.8</v>
      </c>
      <c r="I237">
        <f>G237-H237</f>
        <v>3162.2</v>
      </c>
      <c r="J237">
        <v>18.6</v>
      </c>
      <c r="K237">
        <f>I237*J237</f>
        <v>58816.92</v>
      </c>
      <c r="L237">
        <f>F237*5</f>
        <v>270</v>
      </c>
      <c r="P237">
        <f>K237-L237+M237-N237-O237</f>
        <v>58546.92</v>
      </c>
      <c r="R237">
        <f>G237/F237</f>
        <v>60.370370370370374</v>
      </c>
    </row>
    <row r="238">
      <c r="A238">
        <v>228</v>
      </c>
      <c r="B238" t="str">
        <v>18/11/2025</v>
      </c>
      <c r="C238" t="str">
        <v>RAVI</v>
      </c>
      <c r="D238" t="str">
        <v>KONAYAKAHALLI</v>
      </c>
      <c r="E238">
        <v>9743738084</v>
      </c>
      <c r="F238">
        <v>54</v>
      </c>
      <c r="G238">
        <v>3110</v>
      </c>
      <c r="H238">
        <f>G238*3/100</f>
        <v>93.3</v>
      </c>
      <c r="I238">
        <f>G238-H238</f>
        <v>3016.7</v>
      </c>
      <c r="J238">
        <v>18.6</v>
      </c>
      <c r="K238">
        <f>I238*J238</f>
        <v>56110.62</v>
      </c>
      <c r="L238">
        <f>F238*5</f>
        <v>270</v>
      </c>
      <c r="N238">
        <v>1000</v>
      </c>
      <c r="P238">
        <f>K238-L238+M238-N238-O238</f>
        <v>54840.62</v>
      </c>
      <c r="R238">
        <f>G238/F238</f>
        <v>57.592592592592595</v>
      </c>
    </row>
    <row r="239">
      <c r="A239">
        <v>229</v>
      </c>
      <c r="B239" t="str">
        <v>18/11/2025</v>
      </c>
      <c r="C239" t="str">
        <v>GALI GADIGESH</v>
      </c>
      <c r="D239" t="str">
        <v>BELEMADLURU</v>
      </c>
      <c r="E239">
        <v>8861167966</v>
      </c>
      <c r="F239">
        <v>83</v>
      </c>
      <c r="G239">
        <v>4780</v>
      </c>
      <c r="H239">
        <f>G239*3/100</f>
        <v>143.4</v>
      </c>
      <c r="I239">
        <f>G239-H239</f>
        <v>4636.6</v>
      </c>
      <c r="J239">
        <v>18.8</v>
      </c>
      <c r="K239">
        <f>I239*J239</f>
        <v>87168.08000000002</v>
      </c>
      <c r="L239">
        <f>F239*5</f>
        <v>415</v>
      </c>
      <c r="P239">
        <f>K239-L239+M239-N239-O239</f>
        <v>86753.08000000002</v>
      </c>
      <c r="R239">
        <f>G239/F239</f>
        <v>57.59036144578313</v>
      </c>
    </row>
    <row r="240">
      <c r="A240">
        <v>230</v>
      </c>
      <c r="B240" t="str">
        <v>18/11/2025</v>
      </c>
      <c r="C240" t="str">
        <v>GURUDEV</v>
      </c>
      <c r="D240" t="str">
        <v>DEVARAHONNALI</v>
      </c>
      <c r="E240">
        <v>7816060010</v>
      </c>
      <c r="F240">
        <v>53</v>
      </c>
      <c r="G240">
        <v>3080</v>
      </c>
      <c r="H240">
        <f>G240*3/100</f>
        <v>92.4</v>
      </c>
      <c r="I240">
        <f>G240-H240</f>
        <v>2987.6</v>
      </c>
      <c r="J240">
        <v>18.8</v>
      </c>
      <c r="K240">
        <f>I240*J240</f>
        <v>56166.88</v>
      </c>
      <c r="L240">
        <f>F240*5</f>
        <v>265</v>
      </c>
      <c r="P240">
        <f>K240-L240+M240-N240-O240</f>
        <v>55901.88</v>
      </c>
      <c r="R240">
        <f>G240/F240</f>
        <v>58.113207547169814</v>
      </c>
    </row>
    <row r="241">
      <c r="A241">
        <v>231</v>
      </c>
      <c r="B241" t="str">
        <v>19/11/2025</v>
      </c>
      <c r="C241" t="str">
        <v>SURUSH HOSKERI</v>
      </c>
      <c r="D241" t="str">
        <v>HONNALI</v>
      </c>
      <c r="E241">
        <v>7899321110</v>
      </c>
      <c r="F241">
        <v>72</v>
      </c>
      <c r="G241">
        <v>4170</v>
      </c>
      <c r="H241">
        <f>G241*3/100</f>
        <v>125.1</v>
      </c>
      <c r="I241">
        <f>G241-H241</f>
        <v>4044.9</v>
      </c>
      <c r="J241">
        <v>18.9</v>
      </c>
      <c r="K241">
        <f>I241*J241</f>
        <v>76448.61</v>
      </c>
      <c r="L241">
        <f>F241*5</f>
        <v>360</v>
      </c>
      <c r="P241">
        <f>K241-L241+M241-N241-O241</f>
        <v>76088.61</v>
      </c>
      <c r="R241">
        <f>G241/F241</f>
        <v>57.916666666666664</v>
      </c>
    </row>
    <row r="242">
      <c r="A242">
        <v>232</v>
      </c>
      <c r="B242" t="str">
        <v>19/11/2025</v>
      </c>
      <c r="C242" t="str">
        <v>SHARANAPPA</v>
      </c>
      <c r="D242" t="str">
        <v>BALMURI</v>
      </c>
      <c r="E242">
        <v>9980702734</v>
      </c>
      <c r="F242">
        <v>23</v>
      </c>
      <c r="G242">
        <v>1310</v>
      </c>
      <c r="H242">
        <f>G242*3/100</f>
        <v>39.3</v>
      </c>
      <c r="I242">
        <f>G242-H242</f>
        <v>1270.7</v>
      </c>
      <c r="J242">
        <v>18.5</v>
      </c>
      <c r="K242">
        <f>I242*J242</f>
        <v>23507.95</v>
      </c>
      <c r="L242">
        <f>F242*5</f>
        <v>115</v>
      </c>
      <c r="P242">
        <f>K242-L242+M242-N242-O242</f>
        <v>23392.95</v>
      </c>
      <c r="R242">
        <f>G242/F242</f>
        <v>56.95652173913044</v>
      </c>
    </row>
    <row r="243">
      <c r="A243">
        <v>233</v>
      </c>
      <c r="B243" t="str">
        <v>19/11/2025</v>
      </c>
      <c r="C243" t="str">
        <v xml:space="preserve">SURUSH </v>
      </c>
      <c r="D243" t="str">
        <v>BALMURI</v>
      </c>
      <c r="E243">
        <v>9980702734</v>
      </c>
      <c r="F243">
        <v>67</v>
      </c>
      <c r="G243">
        <v>3850</v>
      </c>
      <c r="H243">
        <f>G243*3/100</f>
        <v>115.5</v>
      </c>
      <c r="I243">
        <f>G243-H243</f>
        <v>3734.5</v>
      </c>
      <c r="J243">
        <v>18.5</v>
      </c>
      <c r="K243">
        <f>I243*J243</f>
        <v>69088.25</v>
      </c>
      <c r="L243">
        <f>F243*5</f>
        <v>335</v>
      </c>
      <c r="P243">
        <f>K243-L243+M243-N243-O243</f>
        <v>68753.25</v>
      </c>
      <c r="R243">
        <f>G243/F243</f>
        <v>57.46268656716418</v>
      </c>
    </row>
    <row r="244">
      <c r="A244">
        <v>234</v>
      </c>
      <c r="B244" t="str">
        <v>19/11/2025</v>
      </c>
      <c r="C244" t="str">
        <v>NAGAPPA</v>
      </c>
      <c r="D244" t="str">
        <v>HONNALI</v>
      </c>
      <c r="E244">
        <v>6366468979</v>
      </c>
      <c r="F244">
        <v>30</v>
      </c>
      <c r="G244">
        <v>1810</v>
      </c>
      <c r="H244">
        <f>G244*3/100</f>
        <v>54.3</v>
      </c>
      <c r="I244">
        <f>G244-H244</f>
        <v>1755.7</v>
      </c>
      <c r="J244">
        <v>18.8</v>
      </c>
      <c r="K244">
        <f>I244*J244</f>
        <v>33007.16</v>
      </c>
      <c r="L244">
        <f>F244*5</f>
        <v>150</v>
      </c>
      <c r="P244">
        <f>K244-L244+M244-N244-O244</f>
        <v>32857.16</v>
      </c>
      <c r="R244">
        <f>G244/F244</f>
        <v>60.333333333333336</v>
      </c>
    </row>
    <row r="245">
      <c r="A245">
        <v>235</v>
      </c>
      <c r="B245" t="str">
        <v>19/11/2025</v>
      </c>
      <c r="C245" t="str">
        <v>GURUJI</v>
      </c>
      <c r="D245" t="str">
        <v>KONAYAKAHALLI</v>
      </c>
      <c r="E245">
        <v>7353888592</v>
      </c>
      <c r="F245">
        <v>79</v>
      </c>
      <c r="G245">
        <v>4680</v>
      </c>
      <c r="H245">
        <f>G245*3/100</f>
        <v>140.4</v>
      </c>
      <c r="I245">
        <f>G245-H245</f>
        <v>4539.6</v>
      </c>
      <c r="J245">
        <v>18.6</v>
      </c>
      <c r="K245">
        <f>I245*J245</f>
        <v>84436.56000000001</v>
      </c>
      <c r="L245">
        <f>F245*5</f>
        <v>395</v>
      </c>
      <c r="P245">
        <f>K245-L245+M245-N245-O245</f>
        <v>84041.56000000001</v>
      </c>
      <c r="R245">
        <f>G245/F245</f>
        <v>59.24050632911393</v>
      </c>
    </row>
    <row r="246">
      <c r="A246">
        <v>236</v>
      </c>
      <c r="B246" t="str">
        <v>19/11/2025</v>
      </c>
      <c r="C246" t="str">
        <v>SUDHI SWAMI</v>
      </c>
      <c r="D246" t="str">
        <v>HONNALI</v>
      </c>
      <c r="E246">
        <v>8277237844</v>
      </c>
      <c r="F246">
        <v>262</v>
      </c>
      <c r="G246">
        <v>15460</v>
      </c>
      <c r="H246">
        <f>G246*3/100</f>
        <v>463.8</v>
      </c>
      <c r="I246">
        <f>G246-H246</f>
        <v>14996.2</v>
      </c>
      <c r="J246">
        <v>18.8</v>
      </c>
      <c r="K246">
        <f>I246*J246</f>
        <v>281928.56</v>
      </c>
      <c r="L246">
        <f>F246*5</f>
        <v>1310</v>
      </c>
      <c r="P246">
        <f>K246-L246+M246-N246-O246</f>
        <v>280618.56</v>
      </c>
      <c r="R246">
        <f>G246/F246</f>
        <v>59.00763358778626</v>
      </c>
    </row>
    <row r="247">
      <c r="A247">
        <v>237</v>
      </c>
      <c r="B247" t="str">
        <v>20/11/2025</v>
      </c>
      <c r="C247" t="str">
        <v>VIJAY</v>
      </c>
      <c r="D247" t="str">
        <v>HONNALI</v>
      </c>
      <c r="E247">
        <v>8277009060</v>
      </c>
      <c r="F247">
        <v>17</v>
      </c>
      <c r="G247">
        <v>980</v>
      </c>
      <c r="H247">
        <f>G247*3/100</f>
        <v>29.4</v>
      </c>
      <c r="I247">
        <f>G247-H247</f>
        <v>950.6</v>
      </c>
      <c r="J247">
        <v>18.8</v>
      </c>
      <c r="K247">
        <f>I247*J247</f>
        <v>17871.280000000002</v>
      </c>
      <c r="L247">
        <f>F247*5</f>
        <v>85</v>
      </c>
      <c r="P247">
        <f>K247-L247+M247-N247-O247</f>
        <v>17786.280000000002</v>
      </c>
      <c r="R247">
        <f>G247/F247</f>
        <v>57.64705882352941</v>
      </c>
    </row>
    <row r="248">
      <c r="A248">
        <v>238</v>
      </c>
      <c r="B248" t="str">
        <v>20/11/2025</v>
      </c>
      <c r="C248" t="str">
        <v>NANDI</v>
      </c>
      <c r="D248" t="str">
        <v>HARHALLI</v>
      </c>
      <c r="E248">
        <v>9986774161</v>
      </c>
      <c r="F248">
        <v>59</v>
      </c>
      <c r="G248">
        <v>3420</v>
      </c>
      <c r="H248">
        <f>G248*3/100</f>
        <v>102.6</v>
      </c>
      <c r="I248">
        <f>G248-H248</f>
        <v>3317.4</v>
      </c>
      <c r="J248">
        <v>18.8</v>
      </c>
      <c r="K248">
        <f>I248*J248</f>
        <v>62367.12</v>
      </c>
      <c r="L248">
        <f>F248*5</f>
        <v>295</v>
      </c>
      <c r="P248">
        <f>K248-L248+M248-N248-O248</f>
        <v>62072.12</v>
      </c>
      <c r="R248">
        <f>G248/F248</f>
        <v>57.96610169491525</v>
      </c>
    </row>
    <row r="249">
      <c r="A249">
        <v>239</v>
      </c>
      <c r="B249" t="str">
        <v>20/11/2025</v>
      </c>
      <c r="C249" t="str">
        <v>MANJU</v>
      </c>
      <c r="D249" t="str">
        <v>HONNALI</v>
      </c>
      <c r="E249">
        <v>9008285915</v>
      </c>
      <c r="F249">
        <v>85</v>
      </c>
      <c r="G249">
        <v>5060</v>
      </c>
      <c r="H249">
        <f>G249*3/100</f>
        <v>151.8</v>
      </c>
      <c r="I249">
        <f>G249-H249</f>
        <v>4908.2</v>
      </c>
      <c r="J249">
        <v>18.8</v>
      </c>
      <c r="K249">
        <f>I249*J249</f>
        <v>92274.16</v>
      </c>
      <c r="L249">
        <f>F249*5</f>
        <v>425</v>
      </c>
      <c r="P249">
        <f>K249-L249+M249-N249-O249</f>
        <v>91849.16</v>
      </c>
      <c r="R249">
        <f>G249/F249</f>
        <v>59.529411764705884</v>
      </c>
    </row>
    <row r="250">
      <c r="A250">
        <v>240</v>
      </c>
      <c r="B250" t="str">
        <v>20/11/2025</v>
      </c>
      <c r="C250" t="str">
        <v>MANJUNATH</v>
      </c>
      <c r="D250" t="str">
        <v>KONAYAKAHALLI</v>
      </c>
      <c r="E250">
        <v>8105769792</v>
      </c>
      <c r="F250">
        <v>33</v>
      </c>
      <c r="G250">
        <v>1920</v>
      </c>
      <c r="H250">
        <f>G250*3/100</f>
        <v>57.6</v>
      </c>
      <c r="I250">
        <f>G250-H250</f>
        <v>1862.4</v>
      </c>
      <c r="J250">
        <v>18.6</v>
      </c>
      <c r="K250">
        <f>I250*J250</f>
        <v>34640.64000000001</v>
      </c>
      <c r="L250">
        <f>F250*5</f>
        <v>165</v>
      </c>
      <c r="P250">
        <f>K250-L250+M250-N250-O250</f>
        <v>34475.64000000001</v>
      </c>
      <c r="R250">
        <f>G250/F250</f>
        <v>58.18181818181818</v>
      </c>
    </row>
    <row r="251">
      <c r="A251">
        <v>241</v>
      </c>
      <c r="B251" t="str">
        <v>20/11/2025</v>
      </c>
      <c r="C251" t="str">
        <v>Nagarajappa</v>
      </c>
      <c r="D251" t="str">
        <v>KONAYAKAHALLI</v>
      </c>
      <c r="E251">
        <v>9620017901</v>
      </c>
      <c r="F251">
        <v>45</v>
      </c>
      <c r="G251">
        <v>2520</v>
      </c>
      <c r="H251">
        <f>G251*3/100</f>
        <v>75.6</v>
      </c>
      <c r="I251">
        <f>G251-H251</f>
        <v>2444.4</v>
      </c>
      <c r="J251">
        <v>18.6</v>
      </c>
      <c r="K251">
        <f>I251*J251</f>
        <v>45465.840000000004</v>
      </c>
      <c r="L251">
        <f>F251*5</f>
        <v>225</v>
      </c>
      <c r="P251">
        <f>K251-L251+M251-N251-O251</f>
        <v>45240.840000000004</v>
      </c>
      <c r="R251">
        <f>G251/F251</f>
        <v>56</v>
      </c>
    </row>
    <row r="252">
      <c r="A252">
        <v>242</v>
      </c>
      <c r="B252" t="str">
        <v>20/11/2025</v>
      </c>
      <c r="C252" t="str">
        <v>HARISH</v>
      </c>
      <c r="D252" t="str">
        <v>KONAYAKAHALLI</v>
      </c>
      <c r="E252">
        <v>9035313203</v>
      </c>
      <c r="F252">
        <v>30</v>
      </c>
      <c r="G252">
        <v>1730</v>
      </c>
      <c r="H252">
        <f>G252*3/100</f>
        <v>51.9</v>
      </c>
      <c r="I252">
        <f>G252-H252</f>
        <v>1678.1</v>
      </c>
      <c r="J252">
        <v>18.6</v>
      </c>
      <c r="K252">
        <f>I252*J252</f>
        <v>31212.66</v>
      </c>
      <c r="L252">
        <f>F252*5</f>
        <v>150</v>
      </c>
      <c r="N252">
        <v>1000</v>
      </c>
      <c r="P252">
        <f>K252-L252+M252-N252-O252</f>
        <v>30062.66</v>
      </c>
      <c r="R252">
        <f>G252/F252</f>
        <v>57.666666666666664</v>
      </c>
    </row>
    <row r="253">
      <c r="A253">
        <v>243</v>
      </c>
      <c r="B253" t="str">
        <v>20/11/2025</v>
      </c>
      <c r="C253" t="str">
        <v>CHANDRAPPA</v>
      </c>
      <c r="D253" t="str">
        <v>KONAYAKAHALLI</v>
      </c>
      <c r="E253">
        <v>9164870398</v>
      </c>
      <c r="F253">
        <v>40</v>
      </c>
      <c r="G253">
        <v>2190</v>
      </c>
      <c r="H253">
        <f>G253*3/100</f>
        <v>65.7</v>
      </c>
      <c r="I253">
        <f>G253-H253</f>
        <v>2124.3</v>
      </c>
      <c r="J253">
        <v>18.6</v>
      </c>
      <c r="K253">
        <f>I253*J253</f>
        <v>39511.98</v>
      </c>
      <c r="L253">
        <f>F253*5</f>
        <v>200</v>
      </c>
      <c r="N253">
        <v>20000</v>
      </c>
      <c r="P253">
        <f>K253-L253+M253-N253-O253</f>
        <v>19311.980000000003</v>
      </c>
      <c r="R253">
        <f>G253/F253</f>
        <v>54.75</v>
      </c>
    </row>
    <row r="254">
      <c r="A254">
        <v>244</v>
      </c>
      <c r="B254" t="str">
        <v>20/11/2025</v>
      </c>
      <c r="C254" t="str">
        <v>SANJU</v>
      </c>
      <c r="D254" t="str">
        <v>KONAYAKAHALLI</v>
      </c>
      <c r="E254">
        <v>8971650950</v>
      </c>
      <c r="F254">
        <v>44</v>
      </c>
      <c r="G254">
        <v>2540</v>
      </c>
      <c r="H254">
        <f>G254*3/100</f>
        <v>76.2</v>
      </c>
      <c r="I254">
        <f>G254-H254</f>
        <v>2463.8</v>
      </c>
      <c r="J254">
        <v>18.6</v>
      </c>
      <c r="K254">
        <f>I254*J254</f>
        <v>45826.68000000001</v>
      </c>
      <c r="L254">
        <f>F254*5</f>
        <v>220</v>
      </c>
      <c r="P254">
        <f>K254-L254+M254-N254-O254</f>
        <v>45606.68000000001</v>
      </c>
      <c r="R254">
        <f>G254/F254</f>
        <v>57.72727272727273</v>
      </c>
    </row>
    <row r="255">
      <c r="A255">
        <v>245</v>
      </c>
      <c r="B255" t="str">
        <v>20/11/2025</v>
      </c>
      <c r="C255" t="str">
        <v>RAMESH</v>
      </c>
      <c r="D255" t="str">
        <v>HOLEHARHALLI</v>
      </c>
      <c r="E255">
        <v>9448976182</v>
      </c>
      <c r="F255">
        <v>26</v>
      </c>
      <c r="G255">
        <v>1480</v>
      </c>
      <c r="H255">
        <f>G255*3/100</f>
        <v>44.4</v>
      </c>
      <c r="I255">
        <f>G255-H255</f>
        <v>1435.6</v>
      </c>
      <c r="J255">
        <v>18</v>
      </c>
      <c r="K255">
        <f>I255*J255</f>
        <v>25840.8</v>
      </c>
      <c r="L255">
        <f>F255*5</f>
        <v>130</v>
      </c>
      <c r="P255">
        <f>K255-L255+M255-N255-O255</f>
        <v>25710.8</v>
      </c>
      <c r="R255">
        <f>G255/F255</f>
        <v>56.92307692307692</v>
      </c>
    </row>
    <row r="256">
      <c r="A256">
        <v>246</v>
      </c>
      <c r="B256" t="str">
        <v>20/11/2025</v>
      </c>
      <c r="C256" t="str">
        <v xml:space="preserve">NAGARAJ </v>
      </c>
      <c r="D256" t="str">
        <v>KONAYAKAHALLI</v>
      </c>
      <c r="F256">
        <v>21</v>
      </c>
      <c r="G256">
        <v>1480</v>
      </c>
      <c r="H256">
        <f>G256*3/100</f>
        <v>44.4</v>
      </c>
      <c r="I256">
        <f>G256-H256</f>
        <v>1435.6</v>
      </c>
      <c r="J256">
        <v>18.6</v>
      </c>
      <c r="K256">
        <f>I256*J256</f>
        <v>26702.16</v>
      </c>
      <c r="L256">
        <f>F256*5</f>
        <v>105</v>
      </c>
      <c r="P256">
        <f>K256-L256+M256-N256-O256</f>
        <v>26597.16</v>
      </c>
      <c r="R256">
        <f>G256/F256</f>
        <v>70.47619047619048</v>
      </c>
    </row>
    <row r="257">
      <c r="A257">
        <v>247</v>
      </c>
      <c r="B257" t="str">
        <v>20/11/2025</v>
      </c>
      <c r="C257" t="str">
        <v>SUNIL</v>
      </c>
      <c r="D257" t="str">
        <v>KONAYAKAHALLI</v>
      </c>
      <c r="F257">
        <v>25</v>
      </c>
      <c r="G257">
        <v>1390</v>
      </c>
      <c r="H257">
        <f>G257*3/100</f>
        <v>41.7</v>
      </c>
      <c r="I257">
        <f>G257-H257</f>
        <v>1348.3</v>
      </c>
      <c r="J257">
        <v>18.6</v>
      </c>
      <c r="K257">
        <f>I257*J257</f>
        <v>25078.38</v>
      </c>
      <c r="L257">
        <f>F257*5</f>
        <v>125</v>
      </c>
      <c r="P257">
        <f>K257-L257+M257-N257-O257</f>
        <v>24953.38</v>
      </c>
      <c r="R257">
        <f>G257/F257</f>
        <v>55.6</v>
      </c>
    </row>
    <row r="258">
      <c r="A258">
        <v>248</v>
      </c>
      <c r="B258" t="str">
        <v>20/11/2025</v>
      </c>
      <c r="C258" t="str">
        <v>KEMPANNA</v>
      </c>
      <c r="D258" t="str">
        <v>KONAYAKAHALLI</v>
      </c>
      <c r="F258">
        <v>13</v>
      </c>
      <c r="G258">
        <v>740</v>
      </c>
      <c r="H258">
        <f>G258*3/100</f>
        <v>22.2</v>
      </c>
      <c r="I258">
        <f>G258-H258</f>
        <v>717.8</v>
      </c>
      <c r="J258">
        <v>18.6</v>
      </c>
      <c r="K258">
        <f>I258*J258</f>
        <v>13351.08</v>
      </c>
      <c r="L258">
        <f>F258*5</f>
        <v>65</v>
      </c>
      <c r="P258">
        <f>K258-L258+M258-N258-O258</f>
        <v>13286.08</v>
      </c>
      <c r="R258">
        <f>G258/F258</f>
        <v>56.92307692307692</v>
      </c>
    </row>
    <row r="259">
      <c r="A259">
        <v>249</v>
      </c>
      <c r="B259" t="str">
        <v>20/11/2025</v>
      </c>
      <c r="C259" t="str">
        <v>RAMESH</v>
      </c>
      <c r="D259" t="str">
        <v>KONAYAKAHALLI</v>
      </c>
      <c r="F259">
        <v>12</v>
      </c>
      <c r="G259">
        <v>710</v>
      </c>
      <c r="H259">
        <f>G259*3/100</f>
        <v>21.3</v>
      </c>
      <c r="I259">
        <f>G259-H259</f>
        <v>688.7</v>
      </c>
      <c r="J259">
        <v>18.6</v>
      </c>
      <c r="K259">
        <f>I259*J259</f>
        <v>12809.820000000002</v>
      </c>
      <c r="L259">
        <f>F259*5</f>
        <v>60</v>
      </c>
      <c r="P259">
        <f>K259-L259+M259-N259-O259</f>
        <v>12749.820000000002</v>
      </c>
      <c r="R259">
        <f>G259/F259</f>
        <v>59.166666666666664</v>
      </c>
    </row>
    <row r="260">
      <c r="A260">
        <v>250</v>
      </c>
      <c r="B260" t="str">
        <v>20/11/2025</v>
      </c>
      <c r="C260" t="str">
        <v>SWAMI</v>
      </c>
      <c r="D260" t="str">
        <v>HONNALI</v>
      </c>
      <c r="E260">
        <v>9986414053</v>
      </c>
      <c r="F260">
        <v>92</v>
      </c>
      <c r="G260">
        <v>5900</v>
      </c>
      <c r="H260">
        <f>G260*3/100</f>
        <v>177</v>
      </c>
      <c r="I260">
        <f>G260-H260</f>
        <v>5723</v>
      </c>
      <c r="J260">
        <v>18.7</v>
      </c>
      <c r="K260">
        <f>I260*J260</f>
        <v>107020.09999999999</v>
      </c>
      <c r="L260">
        <f>F260*5</f>
        <v>460</v>
      </c>
      <c r="P260">
        <f>K260-L260+M260-N260-O260</f>
        <v>106560.09999999999</v>
      </c>
      <c r="R260">
        <f>G260/F260</f>
        <v>64.1304347826087</v>
      </c>
    </row>
    <row r="261">
      <c r="A261">
        <v>251</v>
      </c>
      <c r="B261" t="str">
        <v>20/11/2025</v>
      </c>
      <c r="C261" t="str">
        <v>KOTE</v>
      </c>
      <c r="D261" t="str">
        <v>HONNALI</v>
      </c>
      <c r="F261">
        <v>6</v>
      </c>
      <c r="G261">
        <v>350</v>
      </c>
      <c r="H261">
        <f>G261*3/100</f>
        <v>10.5</v>
      </c>
      <c r="I261">
        <f>G261-H261</f>
        <v>339.5</v>
      </c>
      <c r="J261">
        <v>18</v>
      </c>
      <c r="K261">
        <f>I261*J261</f>
        <v>6111</v>
      </c>
      <c r="L261">
        <f>F261*5</f>
        <v>30</v>
      </c>
      <c r="P261">
        <f>K261-L261+M261-N261-O261</f>
        <v>6081</v>
      </c>
      <c r="R261">
        <f>G261/F261</f>
        <v>58.333333333333336</v>
      </c>
    </row>
    <row r="262">
      <c r="A262">
        <v>252</v>
      </c>
      <c r="B262" t="str">
        <v>20/11/2025</v>
      </c>
      <c r="C262" t="str">
        <v>CHETAN</v>
      </c>
      <c r="D262" t="str">
        <v>HONNALI</v>
      </c>
      <c r="F262">
        <v>95</v>
      </c>
      <c r="G262">
        <v>5470</v>
      </c>
      <c r="H262">
        <f>G262*3/100</f>
        <v>164.1</v>
      </c>
      <c r="I262">
        <f>G262-H262</f>
        <v>5305.9</v>
      </c>
      <c r="J262">
        <v>18</v>
      </c>
      <c r="K262">
        <f>I262*J262</f>
        <v>95506.2</v>
      </c>
      <c r="L262">
        <f>F262*5</f>
        <v>475</v>
      </c>
      <c r="P262">
        <f>K262-L262+M262-N262-O262</f>
        <v>95031.2</v>
      </c>
      <c r="R262">
        <f>G262/F262</f>
        <v>57.578947368421055</v>
      </c>
    </row>
    <row r="263">
      <c r="A263">
        <v>253</v>
      </c>
      <c r="B263" t="str">
        <v>20/11/2025</v>
      </c>
      <c r="C263" t="str">
        <v>IMRAN</v>
      </c>
      <c r="D263" t="str">
        <v>HONNALI</v>
      </c>
      <c r="E263">
        <v>7019137175</v>
      </c>
      <c r="F263">
        <v>47</v>
      </c>
      <c r="G263">
        <v>2700</v>
      </c>
      <c r="H263">
        <f>G263*3/100</f>
        <v>81</v>
      </c>
      <c r="I263">
        <f>G263-H263</f>
        <v>2619</v>
      </c>
      <c r="J263">
        <v>18.5</v>
      </c>
      <c r="K263">
        <f>I263*J263</f>
        <v>48451.5</v>
      </c>
      <c r="L263">
        <f>F263*5</f>
        <v>235</v>
      </c>
      <c r="P263">
        <f>K263-L263+M263-N263-O263</f>
        <v>48216.5</v>
      </c>
      <c r="R263">
        <f>G263/F263</f>
        <v>57.4468085106383</v>
      </c>
    </row>
    <row r="264">
      <c r="A264">
        <v>254</v>
      </c>
      <c r="B264" t="str">
        <v>20/11/2025</v>
      </c>
      <c r="C264" t="str">
        <v>PARMESH</v>
      </c>
      <c r="D264" t="str">
        <v>DEVARAHONNALI</v>
      </c>
      <c r="E264">
        <v>8437099259</v>
      </c>
      <c r="F264">
        <v>60</v>
      </c>
      <c r="G264">
        <v>3440</v>
      </c>
      <c r="H264">
        <f>G264*3/100</f>
        <v>103.2</v>
      </c>
      <c r="I264">
        <f>G264-H264</f>
        <v>3336.8</v>
      </c>
      <c r="J264">
        <v>18.5</v>
      </c>
      <c r="K264">
        <f>I264*J264</f>
        <v>61730.8</v>
      </c>
      <c r="L264">
        <f>F264*5</f>
        <v>300</v>
      </c>
      <c r="P264">
        <f>K264-L264+M264-N264-O264</f>
        <v>61430.8</v>
      </c>
      <c r="R264">
        <f>G264/F264</f>
        <v>57.333333333333336</v>
      </c>
    </row>
    <row r="265">
      <c r="A265">
        <v>255</v>
      </c>
      <c r="B265" t="str">
        <v>20/11/2025</v>
      </c>
      <c r="C265" t="str">
        <v>NAGARAJ</v>
      </c>
      <c r="D265" t="str">
        <v>MADEHALLI</v>
      </c>
      <c r="E265">
        <v>8971698993</v>
      </c>
      <c r="F265">
        <v>93</v>
      </c>
      <c r="G265">
        <v>5280</v>
      </c>
      <c r="H265">
        <f>G265*3/100</f>
        <v>158.4</v>
      </c>
      <c r="I265">
        <f>G265-H265</f>
        <v>5121.6</v>
      </c>
      <c r="J265">
        <v>18</v>
      </c>
      <c r="K265">
        <f>I265*J265</f>
        <v>92188.8</v>
      </c>
      <c r="L265">
        <f>F265*5</f>
        <v>465</v>
      </c>
      <c r="P265">
        <f>K265-L265+M265-N265-O265</f>
        <v>91723.8</v>
      </c>
      <c r="R265">
        <f>G265/F265</f>
        <v>56.774193548387096</v>
      </c>
    </row>
    <row r="266">
      <c r="A266">
        <v>256</v>
      </c>
      <c r="B266" t="str">
        <v>20/11/2025</v>
      </c>
      <c r="C266" t="str">
        <v>ABHI</v>
      </c>
      <c r="D266" t="str">
        <v>KADAKATE</v>
      </c>
      <c r="E266">
        <v>9742395198</v>
      </c>
      <c r="F266">
        <v>16</v>
      </c>
      <c r="G266">
        <v>870</v>
      </c>
      <c r="H266">
        <f>G266*3/100</f>
        <v>26.1</v>
      </c>
      <c r="I266">
        <f>G266-H266</f>
        <v>843.9</v>
      </c>
      <c r="J266">
        <v>18.3</v>
      </c>
      <c r="K266">
        <f>I266*J266</f>
        <v>15443.37</v>
      </c>
      <c r="L266">
        <f>F266*5</f>
        <v>80</v>
      </c>
      <c r="P266">
        <f>K266-L266+M266-N266-O266</f>
        <v>15363.37</v>
      </c>
      <c r="R266">
        <f>G266/F266</f>
        <v>54.375</v>
      </c>
    </row>
    <row r="267">
      <c r="A267">
        <v>257</v>
      </c>
      <c r="B267" t="str">
        <v>21/11/2025</v>
      </c>
      <c r="C267" t="str">
        <v>VEERESH</v>
      </c>
      <c r="D267" t="str">
        <v>KONAYAKAHALLI</v>
      </c>
      <c r="F267">
        <v>81</v>
      </c>
      <c r="G267">
        <v>4920</v>
      </c>
      <c r="H267">
        <f>G267*3/100</f>
        <v>147.6</v>
      </c>
      <c r="I267">
        <f>G267-H267</f>
        <v>4772.4</v>
      </c>
      <c r="J267">
        <v>18.6</v>
      </c>
      <c r="K267">
        <f>I267*J267</f>
        <v>88766.64</v>
      </c>
      <c r="L267">
        <f>F267*5</f>
        <v>405</v>
      </c>
      <c r="P267">
        <f>K267-L267+M267-N267-O267</f>
        <v>88361.64</v>
      </c>
      <c r="R267">
        <f>G267/F267</f>
        <v>60.74074074074074</v>
      </c>
    </row>
    <row r="268">
      <c r="A268">
        <v>258</v>
      </c>
      <c r="B268" t="str">
        <v>21/11/2025</v>
      </c>
      <c r="C268" t="str">
        <v>SHASHI</v>
      </c>
      <c r="D268" t="str">
        <v>KONAYAKAHALLI</v>
      </c>
      <c r="F268">
        <v>64</v>
      </c>
      <c r="G268">
        <v>3790</v>
      </c>
      <c r="H268">
        <f>G268*3/100</f>
        <v>113.7</v>
      </c>
      <c r="I268">
        <f>G268-H268</f>
        <v>3676.3</v>
      </c>
      <c r="J268">
        <v>18.4</v>
      </c>
      <c r="K268">
        <f>I268*J268</f>
        <v>67643.92</v>
      </c>
      <c r="L268">
        <f>F268*6</f>
        <v>384</v>
      </c>
      <c r="P268">
        <f>K268-L268+M268-N268-O268</f>
        <v>67259.92</v>
      </c>
      <c r="R268">
        <f>G268/F268</f>
        <v>59.21875</v>
      </c>
    </row>
    <row r="269">
      <c r="A269">
        <v>259</v>
      </c>
      <c r="B269" t="str">
        <v>21/11/2025</v>
      </c>
      <c r="C269" t="str">
        <v>BASAVRAJ</v>
      </c>
      <c r="D269" t="str">
        <v>CHIKKABASURU</v>
      </c>
      <c r="E269">
        <v>9535563940</v>
      </c>
      <c r="F269">
        <v>189</v>
      </c>
      <c r="G269">
        <v>11220</v>
      </c>
      <c r="H269">
        <f>G269*3/100</f>
        <v>336.6</v>
      </c>
      <c r="I269">
        <f>G269-H269</f>
        <v>10883.4</v>
      </c>
      <c r="J269">
        <v>18.55</v>
      </c>
      <c r="K269">
        <f>I269*J269</f>
        <v>201887.07</v>
      </c>
      <c r="L269">
        <f>F269*5</f>
        <v>945</v>
      </c>
      <c r="P269">
        <f>K269-L269+M269-N269-O269</f>
        <v>200942.07</v>
      </c>
      <c r="R269">
        <f>G269/F269</f>
        <v>59.36507936507937</v>
      </c>
    </row>
    <row r="270">
      <c r="A270">
        <v>260</v>
      </c>
      <c r="B270" t="str">
        <v>21/11/2025</v>
      </c>
      <c r="C270" t="str">
        <v>LOKESH APPA</v>
      </c>
      <c r="D270" t="str">
        <v>MADEHALLI</v>
      </c>
      <c r="E270">
        <v>9740685325</v>
      </c>
      <c r="F270">
        <v>33</v>
      </c>
      <c r="G270">
        <v>1860</v>
      </c>
      <c r="H270">
        <f>G270*3/100</f>
        <v>55.8</v>
      </c>
      <c r="I270">
        <f>G270-H270</f>
        <v>1804.2</v>
      </c>
      <c r="J270">
        <v>18</v>
      </c>
      <c r="K270">
        <f>I270*J270</f>
        <v>32475.600000000002</v>
      </c>
      <c r="L270">
        <f>F270*5</f>
        <v>165</v>
      </c>
      <c r="P270">
        <f>K270-L270+M270-N270-O270</f>
        <v>32310.600000000002</v>
      </c>
      <c r="R270">
        <f>G270/F270</f>
        <v>56.36363636363637</v>
      </c>
    </row>
    <row r="271">
      <c r="A271">
        <v>261</v>
      </c>
      <c r="B271" t="str">
        <v>22/11/2025</v>
      </c>
      <c r="C271" t="str">
        <v>KANTHA RAJ</v>
      </c>
      <c r="D271" t="str">
        <v>BENAKANAHALLI</v>
      </c>
      <c r="E271">
        <v>9663996673</v>
      </c>
      <c r="F271">
        <v>63</v>
      </c>
      <c r="G271">
        <v>3440</v>
      </c>
      <c r="H271">
        <f>G271*3/100</f>
        <v>103.2</v>
      </c>
      <c r="I271">
        <f>G271-H271</f>
        <v>3336.8</v>
      </c>
      <c r="J271">
        <v>18</v>
      </c>
      <c r="K271">
        <f>I271*J271</f>
        <v>60062.4</v>
      </c>
      <c r="L271">
        <f>F271*5</f>
        <v>315</v>
      </c>
      <c r="P271">
        <f>K271-L271+M271-N271-O271</f>
        <v>59747.4</v>
      </c>
      <c r="R271">
        <f>G271/F271</f>
        <v>54.6031746031746</v>
      </c>
    </row>
    <row r="272">
      <c r="A272">
        <v>262</v>
      </c>
      <c r="B272" t="str">
        <v>24/11/2025</v>
      </c>
      <c r="C272" t="str">
        <v>GURUJI</v>
      </c>
      <c r="D272" t="str">
        <v>KONAYAKAHALLI</v>
      </c>
      <c r="F272">
        <v>75</v>
      </c>
      <c r="G272">
        <v>4290</v>
      </c>
      <c r="H272">
        <f>G272*3/100</f>
        <v>128.7</v>
      </c>
      <c r="I272">
        <f>G272-H272</f>
        <v>4161.3</v>
      </c>
      <c r="J272">
        <v>18</v>
      </c>
      <c r="K272">
        <f>I272*J272</f>
        <v>74903.40000000001</v>
      </c>
      <c r="L272">
        <f>F272*5</f>
        <v>375</v>
      </c>
      <c r="P272">
        <f>K272-L272+M272-N272-O272</f>
        <v>74528.40000000001</v>
      </c>
      <c r="R272">
        <f>G272/F272</f>
        <v>57.2</v>
      </c>
    </row>
    <row r="273">
      <c r="A273">
        <v>263</v>
      </c>
      <c r="B273" t="str">
        <v>24/11/2025</v>
      </c>
      <c r="C273" t="str">
        <v>SUREESH</v>
      </c>
      <c r="D273" t="str">
        <v>KONAYAKAHALLI</v>
      </c>
      <c r="F273">
        <v>33</v>
      </c>
      <c r="G273">
        <v>1920</v>
      </c>
      <c r="H273">
        <f>G273*3/100</f>
        <v>57.6</v>
      </c>
      <c r="I273">
        <f>G273-H273</f>
        <v>1862.4</v>
      </c>
      <c r="J273">
        <v>18</v>
      </c>
      <c r="K273">
        <f>I273*J273</f>
        <v>33523.200000000004</v>
      </c>
      <c r="L273">
        <f>F273*5</f>
        <v>165</v>
      </c>
      <c r="P273">
        <f>K273-L273+M273-N273-O273</f>
        <v>33358.200000000004</v>
      </c>
      <c r="R273">
        <f>G273/F273</f>
        <v>58.18181818181818</v>
      </c>
    </row>
    <row r="274">
      <c r="A274">
        <v>264</v>
      </c>
      <c r="B274" t="str">
        <v>24/11/2025</v>
      </c>
      <c r="C274" t="str">
        <v>Hanumantappa</v>
      </c>
      <c r="D274" t="str">
        <v>KONAYAKAHALLI</v>
      </c>
      <c r="F274">
        <v>15</v>
      </c>
      <c r="G274">
        <v>820</v>
      </c>
      <c r="H274">
        <f>G274*3/100</f>
        <v>24.6</v>
      </c>
      <c r="I274">
        <f>G274-H274</f>
        <v>795.4</v>
      </c>
      <c r="J274">
        <v>18</v>
      </c>
      <c r="K274">
        <f>I274*J274</f>
        <v>14317.199999999999</v>
      </c>
      <c r="L274">
        <f>F274*5</f>
        <v>75</v>
      </c>
      <c r="P274">
        <f>K274-L274+M274-N274-O274</f>
        <v>14242.199999999999</v>
      </c>
      <c r="R274">
        <f>G274/F274</f>
        <v>54.666666666666664</v>
      </c>
    </row>
    <row r="275">
      <c r="A275">
        <v>265</v>
      </c>
      <c r="B275" t="str">
        <v>24/11/2025</v>
      </c>
      <c r="C275" t="str">
        <v>THIMMA</v>
      </c>
      <c r="D275" t="str">
        <v>KONAYAKAHALLI</v>
      </c>
      <c r="F275">
        <v>55</v>
      </c>
      <c r="G275">
        <v>3280</v>
      </c>
      <c r="H275">
        <f>G275*3/100</f>
        <v>98.4</v>
      </c>
      <c r="I275">
        <f>G275-H275</f>
        <v>3181.6</v>
      </c>
      <c r="J275">
        <v>18</v>
      </c>
      <c r="K275">
        <f>I275*J275</f>
        <v>57268.799999999996</v>
      </c>
      <c r="L275">
        <f>F275*5</f>
        <v>275</v>
      </c>
      <c r="P275">
        <f>K275-L275+M275-N275-O275</f>
        <v>56993.799999999996</v>
      </c>
      <c r="R275">
        <f>G275/F275</f>
        <v>59.63636363636363</v>
      </c>
    </row>
    <row r="276">
      <c r="A276">
        <v>266</v>
      </c>
      <c r="B276" t="str">
        <v>25/11/2025</v>
      </c>
      <c r="C276" t="str">
        <v>MANJU</v>
      </c>
      <c r="D276" t="str">
        <v>BELEMALURU</v>
      </c>
      <c r="F276">
        <v>4</v>
      </c>
      <c r="G276">
        <v>166</v>
      </c>
      <c r="H276">
        <f>G276*3/100</f>
        <v>4.98</v>
      </c>
      <c r="I276">
        <f>G276-H276</f>
        <v>161.02</v>
      </c>
      <c r="J276">
        <v>4</v>
      </c>
      <c r="K276">
        <f>I276*J276</f>
        <v>644.08</v>
      </c>
      <c r="L276">
        <f>F276*5</f>
        <v>20</v>
      </c>
      <c r="P276">
        <f>K276-L276+M276-N276-O276</f>
        <v>624.08</v>
      </c>
      <c r="R276">
        <f>G276/F276</f>
        <v>41.5</v>
      </c>
    </row>
    <row r="277">
      <c r="A277">
        <v>267</v>
      </c>
      <c r="B277" t="str">
        <v>25/11/2025</v>
      </c>
      <c r="C277" t="str">
        <v>CHANDRASHEKARA</v>
      </c>
      <c r="D277" t="str">
        <v>Kotemaluru</v>
      </c>
      <c r="E277">
        <v>7975201710</v>
      </c>
      <c r="F277">
        <v>25</v>
      </c>
      <c r="G277">
        <v>1520</v>
      </c>
      <c r="H277">
        <f>G277*3/100</f>
        <v>45.6</v>
      </c>
      <c r="I277">
        <f>G277-H277</f>
        <v>1474.4</v>
      </c>
      <c r="J277">
        <v>18.1</v>
      </c>
      <c r="K277">
        <f>I277*J277</f>
        <v>26686.640000000003</v>
      </c>
      <c r="L277">
        <f>F277*5</f>
        <v>125</v>
      </c>
      <c r="P277">
        <f>K277-L277+M277-N277-O277</f>
        <v>26561.640000000003</v>
      </c>
      <c r="R277">
        <f>G277/F277</f>
        <v>60.8</v>
      </c>
    </row>
    <row r="278">
      <c r="A278">
        <v>268</v>
      </c>
      <c r="B278" t="str">
        <v>25/11/2025</v>
      </c>
      <c r="C278" t="str">
        <v>MADHU</v>
      </c>
      <c r="D278" t="str">
        <v>KONAYAKAHALLI</v>
      </c>
      <c r="E278">
        <v>8660488242</v>
      </c>
      <c r="F278">
        <v>54</v>
      </c>
      <c r="G278">
        <v>3150</v>
      </c>
      <c r="H278">
        <f>G278*3/100</f>
        <v>94.5</v>
      </c>
      <c r="I278">
        <f>G278-H278</f>
        <v>3055.5</v>
      </c>
      <c r="J278">
        <v>18</v>
      </c>
      <c r="K278">
        <f>I278*J278</f>
        <v>54999</v>
      </c>
      <c r="L278">
        <f>F278*6</f>
        <v>324</v>
      </c>
      <c r="P278">
        <f>K278-L278+M278-N278-O278</f>
        <v>54675</v>
      </c>
      <c r="R278">
        <f>G278/F278</f>
        <v>58.333333333333336</v>
      </c>
    </row>
    <row r="279">
      <c r="A279">
        <v>269</v>
      </c>
      <c r="B279" t="str">
        <v>26/11/2025</v>
      </c>
      <c r="C279" t="str">
        <v>BEERAPPA</v>
      </c>
      <c r="D279" t="str">
        <v>BELEMALURU</v>
      </c>
      <c r="E279">
        <v>8296235378</v>
      </c>
      <c r="F279">
        <v>66</v>
      </c>
      <c r="G279">
        <v>3820</v>
      </c>
      <c r="H279">
        <f>G279*3/100</f>
        <v>114.6</v>
      </c>
      <c r="I279">
        <f>G279-H279</f>
        <v>3705.4</v>
      </c>
      <c r="J279">
        <v>18.4</v>
      </c>
      <c r="K279">
        <f>I279*J279</f>
        <v>68179.36</v>
      </c>
      <c r="L279">
        <f>F279*6</f>
        <v>396</v>
      </c>
      <c r="P279">
        <f>K279-L279+M279-N279-O279</f>
        <v>67783.36</v>
      </c>
      <c r="R279">
        <f>G279/F279</f>
        <v>57.878787878787875</v>
      </c>
    </row>
    <row r="280">
      <c r="A280">
        <v>270</v>
      </c>
      <c r="B280" t="str">
        <v>26*11*2025</v>
      </c>
      <c r="C280" t="str">
        <v>BHRATH</v>
      </c>
      <c r="D280" t="str">
        <v>KOTEMALURU</v>
      </c>
      <c r="E280">
        <v>7619543426</v>
      </c>
      <c r="F280">
        <v>143</v>
      </c>
      <c r="G280">
        <v>8160</v>
      </c>
      <c r="H280">
        <f>G280*3/100</f>
        <v>244.8</v>
      </c>
      <c r="I280">
        <f>G280-H280</f>
        <v>7915.2</v>
      </c>
      <c r="J280">
        <v>18.2</v>
      </c>
      <c r="K280">
        <f>I280*J280</f>
        <v>144056.63999999998</v>
      </c>
      <c r="L280">
        <f>F280*6</f>
        <v>858</v>
      </c>
      <c r="P280">
        <f>K280-L280+M280-N280-O280</f>
        <v>143198.63999999998</v>
      </c>
      <c r="R280">
        <f>G280/F280</f>
        <v>57.06293706293706</v>
      </c>
    </row>
    <row r="281">
      <c r="A281">
        <v>271</v>
      </c>
      <c r="B281" t="str">
        <v>27*11*2025</v>
      </c>
      <c r="C281" t="str">
        <v>NANDISH</v>
      </c>
      <c r="D281" t="str">
        <v>HONNALI</v>
      </c>
      <c r="F281">
        <v>9</v>
      </c>
      <c r="G281">
        <v>507</v>
      </c>
      <c r="H281">
        <f>G281*3/100</f>
        <v>15.21</v>
      </c>
      <c r="I281">
        <f>G281-H281</f>
        <v>491.79</v>
      </c>
      <c r="J281">
        <v>18</v>
      </c>
      <c r="K281">
        <f>I281*J281</f>
        <v>8852.220000000001</v>
      </c>
      <c r="L281">
        <f>F281*6</f>
        <v>54</v>
      </c>
      <c r="P281">
        <f>K281-L281+M281-N281-O281</f>
        <v>8798.220000000001</v>
      </c>
      <c r="R281">
        <f>G281/F281</f>
        <v>56.333333333333336</v>
      </c>
    </row>
    <row r="282">
      <c r="A282">
        <v>272</v>
      </c>
      <c r="B282" t="str">
        <v>28*11*2025</v>
      </c>
      <c r="C282" t="str">
        <v>SAMPTH KUMAR</v>
      </c>
      <c r="D282" t="str">
        <v>HONNALI</v>
      </c>
      <c r="E282">
        <v>767664924</v>
      </c>
      <c r="F282">
        <v>35</v>
      </c>
      <c r="G282">
        <v>2070</v>
      </c>
      <c r="H282">
        <f>G282*3/100</f>
        <v>62.1</v>
      </c>
      <c r="I282">
        <f>G282-H282</f>
        <v>2007.9</v>
      </c>
      <c r="J282">
        <v>18.2</v>
      </c>
      <c r="K282">
        <f>I282*J282</f>
        <v>36543.78</v>
      </c>
      <c r="L282">
        <f>F282*6</f>
        <v>210</v>
      </c>
      <c r="P282">
        <f>K282-L282+M282-N282-O282</f>
        <v>36333.78</v>
      </c>
      <c r="R282">
        <f>G282/F282</f>
        <v>59.142857142857146</v>
      </c>
    </row>
    <row r="283">
      <c r="A283">
        <v>273</v>
      </c>
      <c r="B283" t="str">
        <v>28*11*2025</v>
      </c>
      <c r="C283" t="str">
        <v>JAGANTH</v>
      </c>
      <c r="D283" t="str">
        <v>HONNALI</v>
      </c>
      <c r="E283">
        <v>9591970379</v>
      </c>
      <c r="F283">
        <v>39</v>
      </c>
      <c r="G283">
        <v>2290</v>
      </c>
      <c r="H283">
        <f>G283*3/100</f>
        <v>68.7</v>
      </c>
      <c r="I283">
        <f>G283-H283</f>
        <v>2221.3</v>
      </c>
      <c r="J283">
        <v>18.5</v>
      </c>
      <c r="K283">
        <f>I283*J283</f>
        <v>41094.05</v>
      </c>
      <c r="L283">
        <f>F283*6</f>
        <v>234</v>
      </c>
      <c r="P283">
        <f>K283-L283+M283-N283-O283</f>
        <v>40860.05</v>
      </c>
      <c r="R283">
        <f>G283/F283</f>
        <v>58.717948717948715</v>
      </c>
    </row>
    <row r="284">
      <c r="A284">
        <v>274</v>
      </c>
      <c r="B284" t="str">
        <v>28*11*2025</v>
      </c>
      <c r="C284" t="str">
        <v>NAGARAJ</v>
      </c>
      <c r="D284" t="str">
        <v>BALMURI</v>
      </c>
      <c r="F284">
        <v>26</v>
      </c>
      <c r="G284">
        <v>1554</v>
      </c>
      <c r="H284">
        <f>G284*3/100</f>
        <v>46.62</v>
      </c>
      <c r="I284">
        <f>G284-H284</f>
        <v>1507.38</v>
      </c>
      <c r="J284">
        <v>18.1</v>
      </c>
      <c r="K284">
        <f>I284*J284</f>
        <v>27283.578000000005</v>
      </c>
      <c r="L284">
        <f>F284*6</f>
        <v>156</v>
      </c>
      <c r="P284">
        <f>K284-L284+M284-N284-O284</f>
        <v>27127.578000000005</v>
      </c>
      <c r="R284">
        <f>G284/F284</f>
        <v>59.76923076923077</v>
      </c>
    </row>
    <row r="285">
      <c r="A285">
        <v>275</v>
      </c>
      <c r="B285" t="str">
        <v>28*11*2025</v>
      </c>
      <c r="C285" t="str">
        <v>SUHAS</v>
      </c>
      <c r="D285" t="str">
        <v>Kotemaluru</v>
      </c>
      <c r="E285">
        <v>8197439474</v>
      </c>
      <c r="F285">
        <v>96</v>
      </c>
      <c r="G285">
        <v>5490</v>
      </c>
      <c r="H285">
        <f>G285*3/100</f>
        <v>164.7</v>
      </c>
      <c r="I285">
        <f>G285-H285</f>
        <v>5325.3</v>
      </c>
      <c r="J285">
        <v>18.3</v>
      </c>
      <c r="K285">
        <f>I285*J285</f>
        <v>97452.99</v>
      </c>
      <c r="L285">
        <f>F285*6</f>
        <v>576</v>
      </c>
      <c r="P285">
        <f>K285-L285+M285-N285-O285</f>
        <v>96876.99</v>
      </c>
      <c r="R285">
        <f>G285/F285</f>
        <v>57.1875</v>
      </c>
    </row>
    <row r="286">
      <c r="A286">
        <v>276</v>
      </c>
      <c r="B286" t="str">
        <v>29*11*2025</v>
      </c>
      <c r="C286" t="str">
        <v>NAGAPPA</v>
      </c>
      <c r="D286" t="str">
        <v>HANUMASAGARA</v>
      </c>
      <c r="E286">
        <v>8197439474</v>
      </c>
      <c r="F286">
        <v>33</v>
      </c>
      <c r="G286">
        <v>1960</v>
      </c>
      <c r="H286">
        <f>G286*3/100</f>
        <v>58.8</v>
      </c>
      <c r="I286">
        <f>G286-H286</f>
        <v>1901.2</v>
      </c>
      <c r="J286">
        <v>17.6</v>
      </c>
      <c r="K286">
        <f>I286*J286</f>
        <v>33461.12</v>
      </c>
      <c r="L286">
        <f>F286*6</f>
        <v>198</v>
      </c>
      <c r="P286">
        <f>K286-L286+M286-N286-O286</f>
        <v>33263.12</v>
      </c>
      <c r="R286">
        <f>G286/F286</f>
        <v>59.39393939393939</v>
      </c>
    </row>
    <row r="287">
      <c r="A287">
        <v>277</v>
      </c>
      <c r="B287" t="str">
        <v>29*11*2025</v>
      </c>
      <c r="C287" t="str">
        <v>KUSUMA</v>
      </c>
      <c r="D287" t="str">
        <v>HONNALI</v>
      </c>
      <c r="F287">
        <v>39</v>
      </c>
      <c r="G287">
        <v>2150</v>
      </c>
      <c r="H287">
        <f>G287*3/100</f>
        <v>64.5</v>
      </c>
      <c r="I287">
        <f>G287-H287</f>
        <v>2085.5</v>
      </c>
      <c r="J287">
        <v>18.1</v>
      </c>
      <c r="K287">
        <f>I287*J287</f>
        <v>37747.55</v>
      </c>
      <c r="L287">
        <f>F287*6</f>
        <v>234</v>
      </c>
      <c r="P287">
        <f>K287-L287+M287-N287-O287</f>
        <v>37513.55</v>
      </c>
      <c r="R287">
        <f>G287/F287</f>
        <v>55.12820512820513</v>
      </c>
    </row>
    <row r="288">
      <c r="A288">
        <v>278</v>
      </c>
      <c r="B288" t="str">
        <v>30*11*2025</v>
      </c>
      <c r="C288" t="str">
        <v>NAGARAJ</v>
      </c>
      <c r="D288" t="str">
        <v>KONAYAKAHALLI</v>
      </c>
      <c r="F288">
        <v>37</v>
      </c>
      <c r="G288">
        <v>2230</v>
      </c>
      <c r="H288">
        <f>G288*3/100</f>
        <v>66.9</v>
      </c>
      <c r="I288">
        <f>G288-H288</f>
        <v>2163.1</v>
      </c>
      <c r="J288">
        <v>18.1</v>
      </c>
      <c r="K288">
        <f>I288*J288</f>
        <v>39152.11</v>
      </c>
      <c r="L288">
        <f>F288*6</f>
        <v>222</v>
      </c>
      <c r="P288">
        <f>K288-L288+M288-N288-O288</f>
        <v>38930.11</v>
      </c>
      <c r="R288">
        <f>G288/F288</f>
        <v>60.270270270270274</v>
      </c>
    </row>
    <row r="289">
      <c r="A289">
        <v>279</v>
      </c>
      <c r="B289" t="str">
        <v>30*11*2025</v>
      </c>
      <c r="C289" t="str">
        <v>MANAJANNA</v>
      </c>
      <c r="D289" t="str">
        <v>KONAYAKAHALLI</v>
      </c>
      <c r="F289">
        <v>11</v>
      </c>
      <c r="G289">
        <v>750</v>
      </c>
      <c r="H289">
        <f>G289*3/100</f>
        <v>22.5</v>
      </c>
      <c r="I289">
        <f>G289-H289</f>
        <v>727.5</v>
      </c>
      <c r="J289">
        <v>18.1</v>
      </c>
      <c r="K289">
        <f>I289*J289</f>
        <v>13167.750000000002</v>
      </c>
      <c r="L289">
        <f>F289*6</f>
        <v>66</v>
      </c>
      <c r="P289">
        <f>K289-L289+M289-N289-O289</f>
        <v>13101.750000000002</v>
      </c>
      <c r="R289">
        <f>G289/F289</f>
        <v>68.18181818181819</v>
      </c>
    </row>
    <row r="290">
      <c r="A290">
        <v>280</v>
      </c>
      <c r="B290" t="str">
        <v>30*11*2025</v>
      </c>
      <c r="C290" t="str">
        <v>SURESH</v>
      </c>
      <c r="D290" t="str">
        <v>KONAYAKAHALLI</v>
      </c>
      <c r="F290">
        <v>14</v>
      </c>
      <c r="G290">
        <v>810</v>
      </c>
      <c r="H290">
        <f>G290*3/100</f>
        <v>24.3</v>
      </c>
      <c r="I290">
        <f>G290-H290</f>
        <v>785.7</v>
      </c>
      <c r="J290">
        <v>18.3</v>
      </c>
      <c r="K290">
        <f>I290*J290</f>
        <v>14378.310000000001</v>
      </c>
      <c r="L290">
        <f>F290*6</f>
        <v>84</v>
      </c>
      <c r="P290">
        <f>K290-L290+M290-N290-O290</f>
        <v>14294.310000000001</v>
      </c>
      <c r="R290">
        <f>G290/F290</f>
        <v>57.857142857142854</v>
      </c>
    </row>
    <row r="291">
      <c r="A291">
        <v>281</v>
      </c>
      <c r="B291" t="str">
        <v>30*11*2025</v>
      </c>
      <c r="C291" t="str">
        <v xml:space="preserve">SATHISH </v>
      </c>
      <c r="D291" t="str">
        <v>KONAYAKAHALLI</v>
      </c>
      <c r="F291">
        <v>39</v>
      </c>
      <c r="G291">
        <v>2460</v>
      </c>
      <c r="H291">
        <f>G291*3/100</f>
        <v>73.8</v>
      </c>
      <c r="I291">
        <f>G291-H291</f>
        <v>2386.2</v>
      </c>
      <c r="J291">
        <v>18.3</v>
      </c>
      <c r="K291">
        <f>I291*J291</f>
        <v>43667.46</v>
      </c>
      <c r="L291">
        <f>F291*6</f>
        <v>234</v>
      </c>
      <c r="P291">
        <f>K291-L291+M291-N291-O291</f>
        <v>43433.46</v>
      </c>
      <c r="R291">
        <f>G291/F291</f>
        <v>63.07692307692308</v>
      </c>
    </row>
    <row r="292">
      <c r="A292">
        <v>282</v>
      </c>
      <c r="B292" t="str">
        <v>30*11*2025</v>
      </c>
      <c r="C292" t="str">
        <v>KENCHAPPA</v>
      </c>
      <c r="D292" t="str">
        <v>KONAYAKAHALLI</v>
      </c>
      <c r="F292">
        <v>41</v>
      </c>
      <c r="G292">
        <v>2480</v>
      </c>
      <c r="H292">
        <f>G292*3/100</f>
        <v>74.4</v>
      </c>
      <c r="I292">
        <f>G292-H292</f>
        <v>2405.6</v>
      </c>
      <c r="J292">
        <v>18.3</v>
      </c>
      <c r="K292">
        <f>I292*J292</f>
        <v>44022.48</v>
      </c>
      <c r="L292">
        <f>F292*6</f>
        <v>246</v>
      </c>
      <c r="N292">
        <v>15100</v>
      </c>
      <c r="P292">
        <f>K292-L292+M292-N292-O292</f>
        <v>28676.480000000003</v>
      </c>
      <c r="R292">
        <f>G292/F292</f>
        <v>60.48780487804878</v>
      </c>
    </row>
    <row r="293">
      <c r="A293">
        <v>283</v>
      </c>
      <c r="B293" t="str">
        <v>30*11*2025</v>
      </c>
      <c r="C293" t="str">
        <v>ERESHANAK</v>
      </c>
      <c r="D293" t="str">
        <v>THANDA</v>
      </c>
      <c r="F293">
        <v>44</v>
      </c>
      <c r="G293">
        <v>2560</v>
      </c>
      <c r="H293">
        <f>G293*3/100</f>
        <v>76.8</v>
      </c>
      <c r="I293">
        <f>G293-H293</f>
        <v>2483.2</v>
      </c>
      <c r="J293">
        <v>18.3</v>
      </c>
      <c r="K293">
        <f>I293*J293</f>
        <v>45442.56</v>
      </c>
      <c r="L293">
        <f>F293*6</f>
        <v>264</v>
      </c>
      <c r="N293">
        <v>100</v>
      </c>
      <c r="P293">
        <f>K293-L293+M293-N293-O293</f>
        <v>45078.56</v>
      </c>
      <c r="R293">
        <f>G293/F293</f>
        <v>58.18181818181818</v>
      </c>
    </row>
    <row r="294">
      <c r="A294">
        <v>284</v>
      </c>
      <c r="B294" t="str">
        <v>30*11*2025</v>
      </c>
      <c r="C294" t="str">
        <v>PUTTAPPA</v>
      </c>
      <c r="D294" t="str">
        <v>HONNALI</v>
      </c>
      <c r="F294">
        <v>17</v>
      </c>
      <c r="G294">
        <v>920</v>
      </c>
      <c r="H294">
        <f>G294*3/100</f>
        <v>27.6</v>
      </c>
      <c r="I294">
        <f>G294-H294</f>
        <v>892.4</v>
      </c>
      <c r="J294">
        <v>18.1</v>
      </c>
      <c r="K294">
        <f>I294*J294</f>
        <v>16152.44</v>
      </c>
      <c r="L294">
        <f>F294*6</f>
        <v>102</v>
      </c>
      <c r="P294">
        <f>K294-L294+M294-N294-O294</f>
        <v>16050.44</v>
      </c>
      <c r="R294">
        <f>G294/F294</f>
        <v>54.11764705882353</v>
      </c>
    </row>
    <row r="295">
      <c r="A295">
        <v>285</v>
      </c>
      <c r="B295" t="str">
        <v>30*11*2025</v>
      </c>
      <c r="C295" t="str">
        <v>KARIYAPPA</v>
      </c>
      <c r="D295" t="str">
        <v>BELAMALURU</v>
      </c>
      <c r="F295">
        <v>38</v>
      </c>
      <c r="G295">
        <v>2290</v>
      </c>
      <c r="H295">
        <f>G295*3/100</f>
        <v>68.7</v>
      </c>
      <c r="I295">
        <f>G295-H295</f>
        <v>2221.3</v>
      </c>
      <c r="J295">
        <v>18.5</v>
      </c>
      <c r="K295">
        <f>I295*J295</f>
        <v>41094.05</v>
      </c>
      <c r="L295">
        <f>F295*6</f>
        <v>228</v>
      </c>
      <c r="P295">
        <f>K295-L295+M295-N295-O295</f>
        <v>40866.05</v>
      </c>
      <c r="R295">
        <f>G295/F295</f>
        <v>60.26315789473684</v>
      </c>
    </row>
    <row r="296">
      <c r="A296">
        <v>286</v>
      </c>
      <c r="B296" t="str">
        <v>01*12*2025</v>
      </c>
      <c r="C296" t="str">
        <v>KARIYAPPA</v>
      </c>
      <c r="D296" t="str">
        <v>BELAMALURU</v>
      </c>
      <c r="F296">
        <v>46</v>
      </c>
      <c r="G296">
        <v>2630</v>
      </c>
      <c r="H296">
        <f>G296*3/100</f>
        <v>78.9</v>
      </c>
      <c r="I296">
        <f>G296-H296</f>
        <v>2551.1</v>
      </c>
      <c r="J296">
        <v>18.65</v>
      </c>
      <c r="K296">
        <f>I296*J296</f>
        <v>47578.01499999999</v>
      </c>
      <c r="L296">
        <f>F296*6</f>
        <v>276</v>
      </c>
      <c r="P296">
        <f>K296-L296+M296-N296-O296</f>
        <v>47302.01499999999</v>
      </c>
      <c r="R296">
        <f>G296/F296</f>
        <v>57.17391304347826</v>
      </c>
    </row>
    <row r="297">
      <c r="A297">
        <v>287</v>
      </c>
      <c r="B297" t="str">
        <v>4*12*2025</v>
      </c>
      <c r="C297" t="str">
        <v>THIMMAPPA</v>
      </c>
      <c r="D297" t="str">
        <v>DEVARAHONNALI</v>
      </c>
      <c r="F297">
        <v>18</v>
      </c>
      <c r="G297">
        <v>1060</v>
      </c>
      <c r="H297">
        <f>G297*3/100</f>
        <v>31.8</v>
      </c>
      <c r="I297">
        <f>G297-H297</f>
        <v>1028.2</v>
      </c>
      <c r="J297">
        <v>18.5</v>
      </c>
      <c r="K297">
        <f>I297*J297</f>
        <v>19021.7</v>
      </c>
      <c r="L297">
        <f>F297*6</f>
        <v>108</v>
      </c>
      <c r="P297">
        <f>K297-L297+M297-N297-O297</f>
        <v>18913.7</v>
      </c>
      <c r="R297">
        <f>G297/F297</f>
        <v>58.888888888888886</v>
      </c>
    </row>
    <row r="298">
      <c r="A298">
        <v>288</v>
      </c>
      <c r="B298" t="str">
        <v>8*12*2025</v>
      </c>
      <c r="C298" t="str">
        <v xml:space="preserve">SHIVU </v>
      </c>
      <c r="D298" t="str">
        <v>HONNALI</v>
      </c>
      <c r="F298">
        <v>6</v>
      </c>
      <c r="G298">
        <v>300</v>
      </c>
      <c r="H298">
        <f>G298*3/100</f>
        <v>9</v>
      </c>
      <c r="I298">
        <f>G298-H298</f>
        <v>291</v>
      </c>
      <c r="J298">
        <v>19</v>
      </c>
      <c r="K298">
        <f>I298*J298</f>
        <v>5529</v>
      </c>
      <c r="L298">
        <f>F298*6</f>
        <v>36</v>
      </c>
      <c r="P298">
        <f>K298-L298+M298-N298-O298</f>
        <v>5493</v>
      </c>
      <c r="R298">
        <f>G298/F298</f>
        <v>50</v>
      </c>
    </row>
    <row r="299">
      <c r="A299">
        <v>289</v>
      </c>
      <c r="B299" t="str">
        <v>8*12*2025</v>
      </c>
      <c r="C299" t="str">
        <v>CHANDRU</v>
      </c>
      <c r="D299" t="str">
        <v>BELEMALURU</v>
      </c>
      <c r="F299">
        <v>11</v>
      </c>
      <c r="G299">
        <v>650</v>
      </c>
      <c r="H299">
        <f>G299*3/100</f>
        <v>19.5</v>
      </c>
      <c r="I299">
        <f>G299-H299</f>
        <v>630.5</v>
      </c>
      <c r="J299">
        <v>20</v>
      </c>
      <c r="K299">
        <f>I299*J299</f>
        <v>12610</v>
      </c>
      <c r="L299">
        <f>F299*6</f>
        <v>66</v>
      </c>
      <c r="P299">
        <f>K299-L299+M299-N299-O299</f>
        <v>12544</v>
      </c>
      <c r="R299">
        <f>G299/F299</f>
        <v>59.09090909090909</v>
      </c>
    </row>
    <row r="300">
      <c r="A300">
        <v>290</v>
      </c>
      <c r="B300" t="str">
        <v>10*12*2025</v>
      </c>
      <c r="C300" t="str">
        <v>HASIM SAB</v>
      </c>
      <c r="D300" t="str">
        <v>DEVARAHONNALI</v>
      </c>
      <c r="E300">
        <v>8749001102</v>
      </c>
      <c r="F300">
        <v>23</v>
      </c>
      <c r="G300">
        <v>1370</v>
      </c>
      <c r="H300">
        <f>G300*3/100</f>
        <v>41.1</v>
      </c>
      <c r="I300">
        <f>G300-H300</f>
        <v>1328.9</v>
      </c>
      <c r="J300">
        <v>19.3</v>
      </c>
      <c r="K300">
        <f>I300*J300</f>
        <v>25647.770000000004</v>
      </c>
      <c r="L300">
        <f>F300*6</f>
        <v>138</v>
      </c>
      <c r="P300">
        <f>K300-L300+M300-N300-O300</f>
        <v>25509.770000000004</v>
      </c>
      <c r="R300">
        <f>G300/F300</f>
        <v>59.56521739130435</v>
      </c>
    </row>
    <row r="301">
      <c r="A301">
        <v>291</v>
      </c>
      <c r="B301" t="str">
        <v>10*12*2025</v>
      </c>
      <c r="C301" t="str">
        <v>RAGAVENDRA</v>
      </c>
      <c r="D301" t="str">
        <v>DEVARAHONNALI</v>
      </c>
      <c r="E301">
        <v>9483427443</v>
      </c>
      <c r="F301">
        <v>44</v>
      </c>
      <c r="G301">
        <v>2750</v>
      </c>
      <c r="H301">
        <f>G301*3/100</f>
        <v>82.5</v>
      </c>
      <c r="I301">
        <f>G301-H301</f>
        <v>2667.5</v>
      </c>
      <c r="J301">
        <v>19.3</v>
      </c>
      <c r="K301">
        <f>I301*J301</f>
        <v>51482.75</v>
      </c>
      <c r="L301">
        <f>F301*6</f>
        <v>264</v>
      </c>
      <c r="P301">
        <f>K301-L301+M301-N301-O301</f>
        <v>51218.75</v>
      </c>
      <c r="R301">
        <f>G301/F301</f>
        <v>62.5</v>
      </c>
    </row>
    <row r="302">
      <c r="A302">
        <v>292</v>
      </c>
      <c r="B302" t="str">
        <v>10*12*2025</v>
      </c>
      <c r="C302" t="str">
        <v>RAJU</v>
      </c>
      <c r="D302" t="str">
        <v>HONNALI</v>
      </c>
      <c r="E302">
        <v>7676409896</v>
      </c>
      <c r="F302">
        <v>10</v>
      </c>
      <c r="G302">
        <v>596</v>
      </c>
      <c r="H302">
        <f>G302*3/100</f>
        <v>17.88</v>
      </c>
      <c r="I302">
        <f>G302-H302</f>
        <v>578.12</v>
      </c>
      <c r="J302">
        <v>19</v>
      </c>
      <c r="K302">
        <f>I302*J302</f>
        <v>10984.28</v>
      </c>
      <c r="L302">
        <f>F302*6</f>
        <v>60</v>
      </c>
      <c r="P302">
        <f>K302-L302+M302-N302-O302</f>
        <v>10924.28</v>
      </c>
      <c r="R302">
        <f>G302/F302</f>
        <v>59.6</v>
      </c>
    </row>
    <row r="303">
      <c r="A303">
        <v>293</v>
      </c>
      <c r="B303" t="str">
        <v>10*12*2025</v>
      </c>
      <c r="C303" t="str">
        <v>GUDAPPA</v>
      </c>
      <c r="D303" t="str">
        <v>HOLEMADAPURA</v>
      </c>
      <c r="E303">
        <v>7760379121</v>
      </c>
      <c r="F303">
        <v>38</v>
      </c>
      <c r="G303">
        <v>2150</v>
      </c>
      <c r="H303">
        <f>G303*3/100</f>
        <v>64.5</v>
      </c>
      <c r="I303">
        <f>G303-H303</f>
        <v>2085.5</v>
      </c>
      <c r="J303">
        <v>19.5</v>
      </c>
      <c r="K303">
        <f>I303*J303</f>
        <v>40667.25</v>
      </c>
      <c r="L303">
        <f>F303*6</f>
        <v>228</v>
      </c>
      <c r="P303">
        <f>K303-L303+M303-N303-O303</f>
        <v>40439.25</v>
      </c>
      <c r="R303">
        <f>G303/F303</f>
        <v>56.578947368421055</v>
      </c>
    </row>
    <row r="304">
      <c r="A304">
        <v>294</v>
      </c>
      <c r="B304" t="str">
        <v>11*12*2025</v>
      </c>
      <c r="C304" t="str">
        <v>NARASIMAPPA</v>
      </c>
      <c r="D304" t="str">
        <v>BENAKANAHALLI</v>
      </c>
      <c r="E304">
        <v>9845496333</v>
      </c>
      <c r="F304">
        <v>200</v>
      </c>
      <c r="G304">
        <v>11785</v>
      </c>
      <c r="H304">
        <f>G304*3/100</f>
        <v>353.55</v>
      </c>
      <c r="I304">
        <f>G304-H304</f>
        <v>11431.45</v>
      </c>
      <c r="J304">
        <v>19.5</v>
      </c>
      <c r="K304">
        <f>I304*J304</f>
        <v>222913.27500000002</v>
      </c>
      <c r="L304">
        <f>F304*6</f>
        <v>1200</v>
      </c>
      <c r="P304">
        <f>K304-L304+M304-N304-O304</f>
        <v>221713.27500000002</v>
      </c>
      <c r="R304">
        <f>G304/F304</f>
        <v>58.925</v>
      </c>
    </row>
    <row r="305">
      <c r="A305">
        <v>295</v>
      </c>
      <c r="B305" t="str">
        <v>11*12*2025</v>
      </c>
      <c r="C305" t="str">
        <v>RAJU</v>
      </c>
      <c r="D305" t="str">
        <v>CHIKBAR</v>
      </c>
      <c r="E305">
        <v>7760474864</v>
      </c>
      <c r="F305">
        <v>46</v>
      </c>
      <c r="G305">
        <v>2480</v>
      </c>
      <c r="H305">
        <f>G305*3/100</f>
        <v>74.4</v>
      </c>
      <c r="I305">
        <f>G305-H305</f>
        <v>2405.6</v>
      </c>
      <c r="J305">
        <v>19.1</v>
      </c>
      <c r="K305">
        <f>I305*J305</f>
        <v>45946.96</v>
      </c>
      <c r="L305">
        <f>F305*6</f>
        <v>276</v>
      </c>
      <c r="P305">
        <f>K305-L305+M305-N305-O305</f>
        <v>45670.96</v>
      </c>
      <c r="R305">
        <f>G305/F305</f>
        <v>53.91304347826087</v>
      </c>
    </row>
    <row r="306">
      <c r="A306">
        <v>296</v>
      </c>
      <c r="B306" t="str">
        <v>11*12*2025</v>
      </c>
      <c r="C306" t="str">
        <v>RUDRESH</v>
      </c>
      <c r="D306" t="str">
        <v>BALESHWARA</v>
      </c>
      <c r="E306">
        <v>9902443175</v>
      </c>
      <c r="F306">
        <v>42</v>
      </c>
      <c r="G306">
        <v>2530</v>
      </c>
      <c r="H306">
        <f>G306*3/100</f>
        <v>75.9</v>
      </c>
      <c r="I306">
        <f>G306-H306</f>
        <v>2454.1</v>
      </c>
      <c r="J306">
        <v>20</v>
      </c>
      <c r="K306">
        <f>I306*J306</f>
        <v>49082</v>
      </c>
      <c r="L306">
        <f>F306*6</f>
        <v>252</v>
      </c>
      <c r="N306">
        <v>500</v>
      </c>
      <c r="P306">
        <f>K306-L306+M306-N306-O306</f>
        <v>48330</v>
      </c>
      <c r="R306">
        <f>G306/F306</f>
        <v>60.23809523809524</v>
      </c>
    </row>
    <row r="307">
      <c r="A307">
        <v>297</v>
      </c>
      <c r="B307" t="str">
        <v>11*12*2025</v>
      </c>
      <c r="C307" t="str">
        <v>VEEREDRA</v>
      </c>
      <c r="D307" t="str">
        <v>HONNALI</v>
      </c>
      <c r="E307">
        <v>9986230227</v>
      </c>
      <c r="F307">
        <v>18</v>
      </c>
      <c r="G307">
        <v>1026</v>
      </c>
      <c r="H307">
        <f>G307*3/100</f>
        <v>30.78</v>
      </c>
      <c r="I307">
        <f>G307-H307</f>
        <v>995.22</v>
      </c>
      <c r="J307">
        <v>19.4</v>
      </c>
      <c r="K307">
        <f>I307*J307</f>
        <v>19307.268</v>
      </c>
      <c r="L307">
        <f>F307*6</f>
        <v>108</v>
      </c>
      <c r="P307">
        <f>K307-L307+M307-N307-O307</f>
        <v>19199.268</v>
      </c>
      <c r="R307">
        <f>G307/F307</f>
        <v>57</v>
      </c>
    </row>
    <row r="308">
      <c r="A308">
        <v>298</v>
      </c>
      <c r="B308" t="str">
        <v>12*12*2025</v>
      </c>
      <c r="C308" t="str">
        <v>CHSMSAB</v>
      </c>
      <c r="D308" t="str">
        <v>HOLEHARHALLI</v>
      </c>
      <c r="E308">
        <v>9480336984</v>
      </c>
      <c r="F308">
        <v>78</v>
      </c>
      <c r="G308">
        <v>4540</v>
      </c>
      <c r="H308">
        <f>G308*3/100</f>
        <v>136.2</v>
      </c>
      <c r="I308">
        <f>G308-H308</f>
        <v>4403.8</v>
      </c>
      <c r="J308">
        <v>19.5</v>
      </c>
      <c r="K308">
        <f>I308*J308</f>
        <v>85874.1</v>
      </c>
      <c r="L308">
        <f>F308*6</f>
        <v>468</v>
      </c>
      <c r="P308">
        <f>K308-L308+M308-N308-O308</f>
        <v>85406.1</v>
      </c>
      <c r="R308">
        <f>G308/F308</f>
        <v>58.205128205128204</v>
      </c>
    </row>
    <row r="309">
      <c r="A309">
        <v>299</v>
      </c>
      <c r="B309" t="str">
        <v>12*12*2025</v>
      </c>
      <c r="C309" t="str">
        <v>MANJAPPA</v>
      </c>
      <c r="D309" t="str">
        <v>HOLEHARHALLI</v>
      </c>
      <c r="E309">
        <v>9480336984</v>
      </c>
      <c r="F309">
        <v>23</v>
      </c>
      <c r="G309">
        <v>1320</v>
      </c>
      <c r="H309">
        <f>G309*3/100</f>
        <v>39.6</v>
      </c>
      <c r="I309">
        <f>G309-H309</f>
        <v>1280.4</v>
      </c>
      <c r="J309">
        <v>19.5</v>
      </c>
      <c r="K309">
        <f>I309*J309</f>
        <v>24967.800000000003</v>
      </c>
      <c r="L309">
        <f>F309*6</f>
        <v>138</v>
      </c>
      <c r="P309">
        <f>K309-L309+M309-N309-O309</f>
        <v>24829.800000000003</v>
      </c>
      <c r="R309">
        <f>G309/F309</f>
        <v>57.391304347826086</v>
      </c>
    </row>
    <row r="310">
      <c r="A310">
        <v>300</v>
      </c>
      <c r="B310" t="str">
        <v>12*12*2025</v>
      </c>
      <c r="C310" t="str">
        <v>BASAVRAJ</v>
      </c>
      <c r="D310" t="str">
        <v>THARNHALLI</v>
      </c>
      <c r="E310">
        <v>8861497029</v>
      </c>
      <c r="F310">
        <v>45</v>
      </c>
      <c r="G310">
        <v>2560</v>
      </c>
      <c r="H310">
        <f>G310*3/100</f>
        <v>76.8</v>
      </c>
      <c r="I310">
        <f>G310-H310</f>
        <v>2483.2</v>
      </c>
      <c r="J310">
        <v>19.2</v>
      </c>
      <c r="K310">
        <f>I310*J310</f>
        <v>47677.439999999995</v>
      </c>
      <c r="L310">
        <f>F310*6</f>
        <v>270</v>
      </c>
      <c r="P310">
        <f>K310-L310+M310-N310-O310</f>
        <v>47407.439999999995</v>
      </c>
      <c r="R310">
        <f>G310/F310</f>
        <v>56.888888888888886</v>
      </c>
    </row>
    <row r="311">
      <c r="A311">
        <v>301</v>
      </c>
      <c r="B311" t="str">
        <v>12*12*2025</v>
      </c>
      <c r="C311" t="str">
        <v>RAJAPPA</v>
      </c>
      <c r="D311" t="str">
        <v>HOLEHARHALLI</v>
      </c>
      <c r="E311">
        <v>8151037208</v>
      </c>
      <c r="F311">
        <v>64</v>
      </c>
      <c r="G311">
        <v>3750</v>
      </c>
      <c r="H311">
        <f>G311*3/100</f>
        <v>112.5</v>
      </c>
      <c r="I311">
        <f>G311-H311</f>
        <v>3637.5</v>
      </c>
      <c r="J311">
        <v>19.2</v>
      </c>
      <c r="K311">
        <f>I311*J311</f>
        <v>69840</v>
      </c>
      <c r="L311">
        <f>F311*6</f>
        <v>384</v>
      </c>
      <c r="P311">
        <f>K311-L311+M311-N311-O311</f>
        <v>69456</v>
      </c>
      <c r="R311">
        <f>G311/F311</f>
        <v>58.59375</v>
      </c>
    </row>
    <row r="312">
      <c r="A312">
        <v>302</v>
      </c>
      <c r="B312" t="str">
        <v>13*12*2025</v>
      </c>
      <c r="C312" t="str">
        <v>HSLESH ANNA</v>
      </c>
      <c r="D312" t="str">
        <v>BALESHWARA</v>
      </c>
      <c r="F312">
        <v>202</v>
      </c>
      <c r="G312">
        <v>12060</v>
      </c>
      <c r="H312">
        <f>G312*3/100</f>
        <v>361.8</v>
      </c>
      <c r="I312">
        <f>G312-H312</f>
        <v>11698.2</v>
      </c>
      <c r="J312">
        <v>20</v>
      </c>
      <c r="K312">
        <f>I312*J312</f>
        <v>233964</v>
      </c>
      <c r="L312">
        <f>F312*6</f>
        <v>1212</v>
      </c>
      <c r="P312">
        <f>K312-L312+M312-N312-O312</f>
        <v>232752</v>
      </c>
      <c r="R312">
        <f>G312/F312</f>
        <v>59.7029702970297</v>
      </c>
    </row>
    <row r="313">
      <c r="A313">
        <v>303</v>
      </c>
      <c r="B313" t="str">
        <v>13*12*2025</v>
      </c>
      <c r="C313" t="str">
        <v>HALESH ANNA</v>
      </c>
      <c r="D313" t="str">
        <v>BALESHWARA</v>
      </c>
      <c r="F313">
        <v>30</v>
      </c>
      <c r="G313">
        <v>1820</v>
      </c>
      <c r="H313">
        <f>G313*3/100</f>
        <v>54.6</v>
      </c>
      <c r="I313">
        <f>G313-H313</f>
        <v>1765.4</v>
      </c>
      <c r="J313">
        <v>20</v>
      </c>
      <c r="K313">
        <f>I313*J313</f>
        <v>35308</v>
      </c>
      <c r="L313">
        <f>F313*6</f>
        <v>180</v>
      </c>
      <c r="P313">
        <f>K313-L313+M313-N313-O313</f>
        <v>35128</v>
      </c>
      <c r="R313">
        <f>G313/F313</f>
        <v>60.666666666666664</v>
      </c>
    </row>
    <row r="314">
      <c r="A314">
        <v>304</v>
      </c>
      <c r="B314" t="str">
        <v>13*12*2025</v>
      </c>
      <c r="C314" t="str">
        <v>KUMAR</v>
      </c>
      <c r="D314" t="str">
        <v>HANUMASAGARA</v>
      </c>
      <c r="F314">
        <v>225</v>
      </c>
      <c r="G314">
        <v>13000</v>
      </c>
      <c r="H314">
        <f>G314*3/100</f>
        <v>390</v>
      </c>
      <c r="I314">
        <f>G314-H314</f>
        <v>12610</v>
      </c>
      <c r="J314">
        <v>19.8</v>
      </c>
      <c r="K314">
        <f>I314*J314</f>
        <v>249678</v>
      </c>
      <c r="L314">
        <f>F314*6</f>
        <v>1350</v>
      </c>
      <c r="P314">
        <f>K314-L314+M314-N314-O314</f>
        <v>248328</v>
      </c>
      <c r="R314">
        <f>G314/F314</f>
        <v>57.77777777777778</v>
      </c>
    </row>
    <row r="315">
      <c r="A315">
        <v>305</v>
      </c>
      <c r="B315" t="str">
        <v>13*12*2025</v>
      </c>
      <c r="C315" t="str">
        <v>RAMESH NAIK</v>
      </c>
      <c r="D315" t="str">
        <v>BELESHAWARA</v>
      </c>
      <c r="F315">
        <v>43</v>
      </c>
      <c r="G315">
        <v>2540</v>
      </c>
      <c r="H315">
        <f>G315*3/100</f>
        <v>76.2</v>
      </c>
      <c r="I315">
        <f>G315-H315</f>
        <v>2463.8</v>
      </c>
      <c r="J315">
        <v>19.8</v>
      </c>
      <c r="K315">
        <f>I315*J315</f>
        <v>48783.240000000005</v>
      </c>
      <c r="L315">
        <f>F315*6</f>
        <v>258</v>
      </c>
      <c r="P315">
        <f>K315-L315+M315-N315-O315</f>
        <v>48525.240000000005</v>
      </c>
      <c r="R315">
        <f>G315/F315</f>
        <v>59.06976744186046</v>
      </c>
    </row>
    <row r="316">
      <c r="A316">
        <v>306</v>
      </c>
      <c r="B316" t="str">
        <v>13*12*2025</v>
      </c>
      <c r="C316" t="str">
        <v>MALESHAPPA</v>
      </c>
      <c r="D316" t="str">
        <v>BALMURI</v>
      </c>
      <c r="E316">
        <v>9731704544</v>
      </c>
      <c r="F316">
        <v>52</v>
      </c>
      <c r="G316">
        <v>3070</v>
      </c>
      <c r="H316">
        <f>G316*3/100</f>
        <v>92.1</v>
      </c>
      <c r="I316">
        <f>G316-H316</f>
        <v>2977.9</v>
      </c>
      <c r="J316">
        <v>19.5</v>
      </c>
      <c r="K316">
        <f>I316*J316</f>
        <v>58069.05</v>
      </c>
      <c r="L316">
        <f>F316*6</f>
        <v>312</v>
      </c>
      <c r="P316">
        <f>K316-L316+M316-N316-O316</f>
        <v>57757.05</v>
      </c>
      <c r="R316">
        <f>G316/F316</f>
        <v>59.03846153846154</v>
      </c>
    </row>
    <row r="317">
      <c r="A317">
        <v>307</v>
      </c>
      <c r="B317" t="str">
        <v>13*12*2025</v>
      </c>
      <c r="C317" t="str">
        <v>MANIKANTHA</v>
      </c>
      <c r="D317" t="str">
        <v>HONNALI</v>
      </c>
      <c r="E317">
        <v>9019949097</v>
      </c>
      <c r="F317">
        <v>9</v>
      </c>
      <c r="G317">
        <v>547</v>
      </c>
      <c r="H317">
        <f>G317*3/100</f>
        <v>16.41</v>
      </c>
      <c r="I317">
        <f>G317-H317</f>
        <v>530.59</v>
      </c>
      <c r="J317">
        <v>20</v>
      </c>
      <c r="K317">
        <f>I317*J317</f>
        <v>10611.800000000001</v>
      </c>
      <c r="L317">
        <f>F317*6</f>
        <v>54</v>
      </c>
      <c r="P317">
        <f>K317-L317+M317-N317-O317</f>
        <v>10557.800000000001</v>
      </c>
      <c r="R317">
        <f>G317/F317</f>
        <v>60.77777777777778</v>
      </c>
    </row>
    <row r="318">
      <c r="A318">
        <v>308</v>
      </c>
      <c r="B318" t="str">
        <v>13*12*2025</v>
      </c>
      <c r="C318" t="str">
        <v>NAGARAJ</v>
      </c>
      <c r="D318" t="str">
        <v>BELEMALURU</v>
      </c>
      <c r="E318">
        <v>9259654167</v>
      </c>
      <c r="F318">
        <v>33</v>
      </c>
      <c r="G318">
        <v>1840</v>
      </c>
      <c r="H318">
        <f>G318*3/100</f>
        <v>55.2</v>
      </c>
      <c r="I318">
        <f>G318-H318</f>
        <v>1784.8</v>
      </c>
      <c r="J318">
        <v>19.8</v>
      </c>
      <c r="K318">
        <f>I318*J318</f>
        <v>35339.04</v>
      </c>
      <c r="L318">
        <f>F318*6</f>
        <v>198</v>
      </c>
      <c r="P318">
        <f>K318-L318+M318-N318-O318</f>
        <v>35141.04</v>
      </c>
      <c r="R318">
        <f>G318/F318</f>
        <v>55.75757575757576</v>
      </c>
    </row>
    <row r="319">
      <c r="A319">
        <v>309</v>
      </c>
      <c r="B319" t="str">
        <v>13*12*2025</v>
      </c>
      <c r="C319" t="str">
        <v>SWAMI LINGAPPA</v>
      </c>
      <c r="D319" t="str">
        <v>BELEMALURU</v>
      </c>
      <c r="E319">
        <v>9611447635</v>
      </c>
      <c r="F319">
        <v>37</v>
      </c>
      <c r="G319">
        <v>2270</v>
      </c>
      <c r="H319">
        <f>G319*3/100</f>
        <v>68.1</v>
      </c>
      <c r="I319">
        <f>G319-H319</f>
        <v>2201.9</v>
      </c>
      <c r="J319">
        <v>19.8</v>
      </c>
      <c r="K319">
        <f>I319*J319</f>
        <v>43597.62</v>
      </c>
      <c r="L319">
        <f>F319*6</f>
        <v>222</v>
      </c>
      <c r="P319">
        <f>K319-L319+M319-N319-O319</f>
        <v>43375.62</v>
      </c>
      <c r="R319">
        <f>G319/F319</f>
        <v>61.351351351351354</v>
      </c>
    </row>
    <row r="320">
      <c r="A320">
        <v>310</v>
      </c>
      <c r="B320" t="str">
        <v>13*12*2025</v>
      </c>
      <c r="C320" t="str">
        <v>PRAVEEN</v>
      </c>
      <c r="D320" t="str">
        <v>BELEMALURU</v>
      </c>
      <c r="E320">
        <v>9164917271</v>
      </c>
      <c r="F320">
        <v>31</v>
      </c>
      <c r="G320">
        <v>1750</v>
      </c>
      <c r="H320">
        <f>G320*3/100</f>
        <v>52.5</v>
      </c>
      <c r="I320">
        <f>G320-H320</f>
        <v>1697.5</v>
      </c>
      <c r="J320">
        <v>19.8</v>
      </c>
      <c r="K320">
        <f>I320*J320</f>
        <v>33610.5</v>
      </c>
      <c r="L320">
        <f>F320*6</f>
        <v>186</v>
      </c>
      <c r="P320">
        <f>K320-L320+M320-N320-O320</f>
        <v>33424.5</v>
      </c>
      <c r="R320">
        <f>G320/F320</f>
        <v>56.45161290322581</v>
      </c>
    </row>
    <row r="321">
      <c r="A321">
        <v>311</v>
      </c>
      <c r="B321" t="str">
        <v>13*12*2025</v>
      </c>
      <c r="C321" t="str">
        <v>BASAVANA GOWDA</v>
      </c>
      <c r="D321" t="str">
        <v>S MALAPURA</v>
      </c>
      <c r="F321">
        <v>141</v>
      </c>
      <c r="G321">
        <v>8030</v>
      </c>
      <c r="H321">
        <f>G321*3/100</f>
        <v>240.9</v>
      </c>
      <c r="I321">
        <f>G321-H321</f>
        <v>7789.1</v>
      </c>
      <c r="J321">
        <v>19.8</v>
      </c>
      <c r="K321">
        <f>I321*J321</f>
        <v>154224.18000000002</v>
      </c>
      <c r="L321">
        <f>F321*6</f>
        <v>846</v>
      </c>
      <c r="P321">
        <f>K321-L321+M321-N321-O321</f>
        <v>153378.18000000002</v>
      </c>
      <c r="R321">
        <f>G321/F321</f>
        <v>56.95035460992908</v>
      </c>
    </row>
    <row r="322">
      <c r="A322">
        <v>312</v>
      </c>
      <c r="B322" t="str">
        <v>13*12*2025</v>
      </c>
      <c r="C322" t="str">
        <v>BASAVANA GOWDA</v>
      </c>
      <c r="D322" t="str">
        <v>S MALAPURA</v>
      </c>
      <c r="F322">
        <v>94</v>
      </c>
      <c r="G322">
        <v>5050</v>
      </c>
      <c r="H322">
        <f>G322*3/100</f>
        <v>151.5</v>
      </c>
      <c r="I322">
        <f>G322-H322</f>
        <v>4898.5</v>
      </c>
      <c r="J322">
        <v>10</v>
      </c>
      <c r="K322">
        <f>I322*J322</f>
        <v>48985</v>
      </c>
      <c r="L322">
        <f>F322*6</f>
        <v>564</v>
      </c>
      <c r="P322">
        <f>K322-L322+M322-N322-O322</f>
        <v>48421</v>
      </c>
      <c r="R322">
        <f>G322/F322</f>
        <v>53.723404255319146</v>
      </c>
    </row>
    <row r="323">
      <c r="A323">
        <v>313</v>
      </c>
      <c r="B323" t="str">
        <v>14*12*2025</v>
      </c>
      <c r="C323" t="str">
        <v>JADI</v>
      </c>
      <c r="D323" t="str">
        <v>HONNALI</v>
      </c>
      <c r="E323">
        <v>8951078465</v>
      </c>
      <c r="F323">
        <v>73</v>
      </c>
      <c r="G323">
        <v>4250</v>
      </c>
      <c r="H323">
        <f>G323*3/100</f>
        <v>127.5</v>
      </c>
      <c r="I323">
        <f>G323-H323</f>
        <v>4122.5</v>
      </c>
      <c r="J323">
        <v>20</v>
      </c>
      <c r="K323">
        <f>I323*J323</f>
        <v>82450</v>
      </c>
      <c r="L323">
        <f>F323*6</f>
        <v>438</v>
      </c>
      <c r="P323">
        <f>K323-L323+M323-N323-O323</f>
        <v>82012</v>
      </c>
      <c r="R323">
        <f>G323/F323</f>
        <v>58.21917808219178</v>
      </c>
    </row>
    <row r="324">
      <c r="A324">
        <v>314</v>
      </c>
      <c r="B324" t="str">
        <v>14*12*2025</v>
      </c>
      <c r="C324" t="str">
        <v>DADU SAB</v>
      </c>
      <c r="D324" t="str">
        <v>HOLEHARHALLI</v>
      </c>
      <c r="E324">
        <v>8296291184</v>
      </c>
      <c r="F324">
        <v>137</v>
      </c>
      <c r="G324">
        <v>7900</v>
      </c>
      <c r="H324">
        <f>G324*3/100</f>
        <v>237</v>
      </c>
      <c r="I324">
        <f>G324-H324</f>
        <v>7663</v>
      </c>
      <c r="J324">
        <v>19.8</v>
      </c>
      <c r="K324">
        <f>I324*J324</f>
        <v>151727.4</v>
      </c>
      <c r="L324">
        <f>F324*6</f>
        <v>822</v>
      </c>
      <c r="P324">
        <v>154205</v>
      </c>
      <c r="R324">
        <f>G324/F324</f>
        <v>57.66423357664234</v>
      </c>
    </row>
    <row r="325">
      <c r="A325">
        <v>315</v>
      </c>
      <c r="B325" t="str">
        <v>14*12*2025</v>
      </c>
      <c r="C325" t="str">
        <v>BEERAPPA</v>
      </c>
      <c r="D325" t="str">
        <v>BELEMALURU</v>
      </c>
      <c r="E325">
        <v>9611879727</v>
      </c>
      <c r="F325">
        <v>26</v>
      </c>
      <c r="G325">
        <v>1550</v>
      </c>
      <c r="H325">
        <f>G325*3/100</f>
        <v>46.5</v>
      </c>
      <c r="I325">
        <f>G325-H325</f>
        <v>1503.5</v>
      </c>
      <c r="J325">
        <v>19.8</v>
      </c>
      <c r="K325">
        <f>I325*J325</f>
        <v>29769.3</v>
      </c>
      <c r="L325">
        <f>F325*6</f>
        <v>156</v>
      </c>
      <c r="P325">
        <f>K325-L325+M325-N325-O325</f>
        <v>29613.3</v>
      </c>
      <c r="R325">
        <f>G325/F325</f>
        <v>59.61538461538461</v>
      </c>
    </row>
    <row r="326">
      <c r="A326">
        <v>316</v>
      </c>
      <c r="B326" t="str">
        <v>15*12*2025</v>
      </c>
      <c r="C326" t="str">
        <v>BASAVANA GOWDA</v>
      </c>
      <c r="D326" t="str">
        <v>S MALAPURA</v>
      </c>
      <c r="E326">
        <v>9971015633</v>
      </c>
      <c r="F326">
        <v>228</v>
      </c>
      <c r="G326">
        <v>12715</v>
      </c>
      <c r="H326">
        <f>G326*3/100</f>
        <v>381.45</v>
      </c>
      <c r="I326">
        <f>G326-H326</f>
        <v>12333.55</v>
      </c>
      <c r="J326">
        <v>19.85</v>
      </c>
      <c r="K326">
        <f>I326*J326</f>
        <v>244820.9675</v>
      </c>
      <c r="L326">
        <f>F326*6</f>
        <v>1368</v>
      </c>
      <c r="P326">
        <f>K326-L326+M326-N326-O326</f>
        <v>243452.9675</v>
      </c>
      <c r="R326">
        <f>G326/F326</f>
        <v>55.76754385964912</v>
      </c>
    </row>
    <row r="327">
      <c r="A327">
        <v>317</v>
      </c>
      <c r="B327" t="str">
        <v>15*12*2025</v>
      </c>
      <c r="C327" t="str">
        <v>CHANDRU</v>
      </c>
      <c r="D327" t="str">
        <v>BELEMALURU</v>
      </c>
      <c r="E327">
        <v>9972631924</v>
      </c>
      <c r="F327">
        <v>89</v>
      </c>
      <c r="G327">
        <v>5300</v>
      </c>
      <c r="H327">
        <f>G327*3/100</f>
        <v>159</v>
      </c>
      <c r="I327">
        <f>G327-H327</f>
        <v>5141</v>
      </c>
      <c r="J327">
        <v>19.8</v>
      </c>
      <c r="K327">
        <f>I327*J327</f>
        <v>101791.8</v>
      </c>
      <c r="L327">
        <f>F327*6</f>
        <v>534</v>
      </c>
      <c r="P327">
        <f>K327-L327+M327-N327-O327</f>
        <v>101257.8</v>
      </c>
      <c r="R327">
        <f>G327/F327</f>
        <v>59.550561797752806</v>
      </c>
    </row>
    <row r="328">
      <c r="A328">
        <v>318</v>
      </c>
      <c r="B328" t="str">
        <v>15*12*2025</v>
      </c>
      <c r="C328" t="str">
        <v>MANJUNATH</v>
      </c>
      <c r="D328" t="str">
        <v>BELEMALURU</v>
      </c>
      <c r="E328">
        <v>7022574135</v>
      </c>
      <c r="F328">
        <v>71</v>
      </c>
      <c r="G328">
        <v>3970</v>
      </c>
      <c r="H328">
        <f>G328*3/100</f>
        <v>119.1</v>
      </c>
      <c r="I328">
        <f>G328-H328</f>
        <v>3850.9</v>
      </c>
      <c r="J328">
        <v>19.8</v>
      </c>
      <c r="K328">
        <f>I328*J328</f>
        <v>76247.82</v>
      </c>
      <c r="L328">
        <f>F328*6</f>
        <v>426</v>
      </c>
      <c r="P328">
        <f>K328-L328+M328-N328-O328</f>
        <v>75821.82</v>
      </c>
      <c r="R328">
        <f>G328/F328</f>
        <v>55.91549295774648</v>
      </c>
    </row>
    <row r="329">
      <c r="A329">
        <v>319</v>
      </c>
      <c r="B329" t="str">
        <v>15*12*2025</v>
      </c>
      <c r="C329" t="str">
        <v>ARUN</v>
      </c>
      <c r="D329" t="str">
        <v>GOLARAHALLI</v>
      </c>
      <c r="E329">
        <v>9148396832</v>
      </c>
      <c r="F329">
        <v>57</v>
      </c>
      <c r="G329">
        <v>3250</v>
      </c>
      <c r="H329">
        <f>G329*3/100</f>
        <v>97.5</v>
      </c>
      <c r="I329">
        <f>G329-H329</f>
        <v>3152.5</v>
      </c>
      <c r="J329">
        <v>20</v>
      </c>
      <c r="K329">
        <f>I329*J329</f>
        <v>63050</v>
      </c>
      <c r="L329">
        <f>F329*6</f>
        <v>342</v>
      </c>
      <c r="P329">
        <f>K329-L329+M329-N329-O329</f>
        <v>62708</v>
      </c>
      <c r="R329">
        <f>G329/F329</f>
        <v>57.01754385964912</v>
      </c>
    </row>
    <row r="330">
      <c r="A330">
        <v>320</v>
      </c>
      <c r="B330" t="str">
        <v>15*12*2025</v>
      </c>
      <c r="C330" t="str">
        <v>SIDAPPPA</v>
      </c>
      <c r="D330" t="str">
        <v>BELEMALURU</v>
      </c>
      <c r="E330">
        <v>9311884247</v>
      </c>
      <c r="F330">
        <v>29</v>
      </c>
      <c r="G330">
        <v>1660</v>
      </c>
      <c r="H330">
        <f>G330*3/100</f>
        <v>49.8</v>
      </c>
      <c r="I330">
        <f>G330-H330</f>
        <v>1610.2</v>
      </c>
      <c r="J330">
        <v>19.8</v>
      </c>
      <c r="K330">
        <f>I330*J330</f>
        <v>31881.960000000003</v>
      </c>
      <c r="L330">
        <f>F330*6</f>
        <v>174</v>
      </c>
      <c r="P330">
        <f>K330-L330+M330-N330-O330</f>
        <v>31707.960000000003</v>
      </c>
      <c r="R330">
        <f>G330/F330</f>
        <v>57.241379310344826</v>
      </c>
    </row>
    <row r="331">
      <c r="A331">
        <v>321</v>
      </c>
      <c r="B331" t="str">
        <v>16*12*2025</v>
      </c>
      <c r="C331" t="str">
        <v>NAGAPPA</v>
      </c>
      <c r="D331" t="str">
        <v xml:space="preserve"> </v>
      </c>
      <c r="E331">
        <v>8219699541</v>
      </c>
      <c r="F331">
        <v>16</v>
      </c>
      <c r="G331">
        <v>940</v>
      </c>
      <c r="H331">
        <f>G331*3/100</f>
        <v>28.2</v>
      </c>
      <c r="I331">
        <f>G331-H331</f>
        <v>911.8</v>
      </c>
      <c r="J331">
        <v>19.5</v>
      </c>
      <c r="K331">
        <f>I331*J331</f>
        <v>17780.1</v>
      </c>
      <c r="L331">
        <f>F331*6</f>
        <v>96</v>
      </c>
      <c r="P331">
        <f>K331-L331+M331-N331-O331</f>
        <v>17684.1</v>
      </c>
      <c r="R331">
        <f>G331/F331</f>
        <v>58.75</v>
      </c>
    </row>
    <row r="332">
      <c r="A332">
        <v>322</v>
      </c>
      <c r="B332" t="str">
        <v>16*12*2025</v>
      </c>
      <c r="C332" t="str">
        <v>PRAKASH</v>
      </c>
      <c r="D332" t="str">
        <v>BALESHWARA</v>
      </c>
      <c r="E332">
        <v>8296473199</v>
      </c>
      <c r="F332">
        <v>37</v>
      </c>
      <c r="G332">
        <v>2150</v>
      </c>
      <c r="H332">
        <f>G332*3/100</f>
        <v>64.5</v>
      </c>
      <c r="I332">
        <f>G332-H332</f>
        <v>2085.5</v>
      </c>
      <c r="J332">
        <v>19.5</v>
      </c>
      <c r="K332">
        <f>I332*J332</f>
        <v>40667.25</v>
      </c>
      <c r="L332">
        <f>F332*6</f>
        <v>222</v>
      </c>
      <c r="P332">
        <f>K332-L332+M332-N332-O332</f>
        <v>40445.25</v>
      </c>
      <c r="R332">
        <f>G332/F332</f>
        <v>58.108108108108105</v>
      </c>
    </row>
    <row r="333">
      <c r="A333">
        <v>323</v>
      </c>
      <c r="B333" t="str">
        <v>16*12*2025</v>
      </c>
      <c r="C333" t="str">
        <v>Eshawar</v>
      </c>
      <c r="D333" t="str">
        <v>MASDI</v>
      </c>
      <c r="E333">
        <v>8971584236</v>
      </c>
      <c r="F333">
        <v>40</v>
      </c>
      <c r="G333">
        <v>2230</v>
      </c>
      <c r="H333">
        <f>G333*3/100</f>
        <v>66.9</v>
      </c>
      <c r="I333">
        <f>G333-H333</f>
        <v>2163.1</v>
      </c>
      <c r="J333">
        <v>19.5</v>
      </c>
      <c r="K333">
        <f>I333*J333</f>
        <v>42180.45</v>
      </c>
      <c r="L333">
        <f>F333*6</f>
        <v>240</v>
      </c>
      <c r="P333">
        <f>K333-L333+M333-N333-O333</f>
        <v>41940.45</v>
      </c>
      <c r="R333">
        <f>G333/F333</f>
        <v>55.75</v>
      </c>
    </row>
    <row r="334">
      <c r="A334">
        <v>324</v>
      </c>
      <c r="B334" t="str">
        <v>16*12*2025</v>
      </c>
      <c r="C334" t="str">
        <v>SIDAPPPA</v>
      </c>
      <c r="D334" t="str">
        <v>DEVARAHONNALI</v>
      </c>
      <c r="E334">
        <v>8088467950</v>
      </c>
      <c r="F334">
        <v>75</v>
      </c>
      <c r="G334">
        <v>4380</v>
      </c>
      <c r="H334">
        <f>G334*3/100</f>
        <v>131.4</v>
      </c>
      <c r="I334">
        <f>G334-H334</f>
        <v>4248.6</v>
      </c>
      <c r="J334">
        <v>19.5</v>
      </c>
      <c r="K334">
        <f>I334*J334</f>
        <v>82847.70000000001</v>
      </c>
      <c r="L334">
        <f>F334*6</f>
        <v>450</v>
      </c>
      <c r="P334">
        <f>K334-L334+M334-N334-O334</f>
        <v>82397.70000000001</v>
      </c>
      <c r="R334">
        <f>G334/F334</f>
        <v>58.4</v>
      </c>
    </row>
    <row r="335">
      <c r="A335">
        <v>325</v>
      </c>
      <c r="B335" t="str">
        <v>17*12*2025</v>
      </c>
      <c r="C335" t="str">
        <v>BASAVRAJ</v>
      </c>
      <c r="D335" t="str">
        <v>THANAHALLI</v>
      </c>
      <c r="E335">
        <v>9148173248</v>
      </c>
      <c r="F335">
        <v>53</v>
      </c>
      <c r="G335">
        <v>3090</v>
      </c>
      <c r="H335">
        <f>G335*3/100</f>
        <v>92.7</v>
      </c>
      <c r="I335">
        <f>G335-H335</f>
        <v>2997.3</v>
      </c>
      <c r="J335">
        <v>19.4</v>
      </c>
      <c r="K335">
        <f>I335*J335</f>
        <v>58147.62</v>
      </c>
      <c r="L335">
        <f>F335*6</f>
        <v>318</v>
      </c>
      <c r="P335">
        <f>K335-L335+M335-N335-O335</f>
        <v>57829.62</v>
      </c>
      <c r="R335">
        <f>G335/F335</f>
        <v>58.301886792452834</v>
      </c>
    </row>
    <row r="336">
      <c r="A336">
        <v>326</v>
      </c>
      <c r="B336" t="str">
        <v>17*12*2025</v>
      </c>
      <c r="C336" t="str">
        <v>RAJU</v>
      </c>
      <c r="D336" t="str">
        <v>KABBAR</v>
      </c>
      <c r="E336">
        <v>8073615367</v>
      </c>
      <c r="F336">
        <v>153</v>
      </c>
      <c r="G336">
        <v>8960</v>
      </c>
      <c r="H336">
        <f>G336*3/100</f>
        <v>268.8</v>
      </c>
      <c r="I336">
        <f>G336-H336</f>
        <v>8691.2</v>
      </c>
      <c r="J336">
        <v>19.4</v>
      </c>
      <c r="K336">
        <f>I336*J336</f>
        <v>168609.28</v>
      </c>
      <c r="L336">
        <f>F336*6</f>
        <v>918</v>
      </c>
      <c r="N336">
        <v>5000</v>
      </c>
      <c r="P336">
        <f>K336-L336+M336-N336-O336</f>
        <v>162691.28</v>
      </c>
      <c r="R336">
        <f>G336/F336</f>
        <v>58.56209150326797</v>
      </c>
    </row>
    <row r="337">
      <c r="A337">
        <v>327</v>
      </c>
      <c r="B337" t="str">
        <v>17*12*2025</v>
      </c>
      <c r="C337" t="str">
        <v>MANJU</v>
      </c>
      <c r="D337" t="str">
        <v>KABBAR</v>
      </c>
      <c r="E337">
        <v>7026889309</v>
      </c>
      <c r="F337">
        <v>40</v>
      </c>
      <c r="G337">
        <v>2290</v>
      </c>
      <c r="H337">
        <f>G337*3/100</f>
        <v>68.7</v>
      </c>
      <c r="I337">
        <f>G337-H337</f>
        <v>2221.3</v>
      </c>
      <c r="J337">
        <v>19.4</v>
      </c>
      <c r="K337">
        <f>I337*J337</f>
        <v>43093.22</v>
      </c>
      <c r="L337">
        <f>F337*6</f>
        <v>240</v>
      </c>
      <c r="P337">
        <f>K337-L337+M337-N337-O337</f>
        <v>42853.22</v>
      </c>
      <c r="R337">
        <f>G337/F337</f>
        <v>57.25</v>
      </c>
    </row>
    <row r="338">
      <c r="A338">
        <v>328</v>
      </c>
      <c r="B338" t="str">
        <v>17*12*2025</v>
      </c>
      <c r="C338" t="str">
        <v>RAVI NAYAKA</v>
      </c>
      <c r="D338" t="str">
        <v>KOTEMALURU TANTA</v>
      </c>
      <c r="E338">
        <v>8762611371</v>
      </c>
      <c r="F338">
        <v>78</v>
      </c>
      <c r="G338">
        <v>4550</v>
      </c>
      <c r="H338">
        <f>G338*3/100</f>
        <v>136.5</v>
      </c>
      <c r="I338">
        <f>G338-H338</f>
        <v>4413.5</v>
      </c>
      <c r="J338">
        <v>19</v>
      </c>
      <c r="K338">
        <f>I338*J338</f>
        <v>83856.5</v>
      </c>
      <c r="L338">
        <f>F338*6</f>
        <v>468</v>
      </c>
      <c r="P338">
        <f>K338-L338+M338-N338-O338</f>
        <v>83388.5</v>
      </c>
      <c r="R338">
        <f>G338/F338</f>
        <v>58.333333333333336</v>
      </c>
    </row>
    <row r="339">
      <c r="A339">
        <v>329</v>
      </c>
      <c r="B339" t="str">
        <v>17*12*2025</v>
      </c>
      <c r="C339" t="str">
        <v>RAJU</v>
      </c>
      <c r="D339" t="str">
        <v>BELEMALURU</v>
      </c>
      <c r="E339">
        <v>9731377913</v>
      </c>
      <c r="F339">
        <v>36</v>
      </c>
      <c r="G339">
        <v>2040</v>
      </c>
      <c r="H339">
        <f>G339*3/100</f>
        <v>61.2</v>
      </c>
      <c r="I339">
        <f>G339-H339</f>
        <v>1978.8</v>
      </c>
      <c r="J339">
        <v>19.7</v>
      </c>
      <c r="K339">
        <f>I339*J339</f>
        <v>38982.36</v>
      </c>
      <c r="L339">
        <f>F339*6</f>
        <v>216</v>
      </c>
      <c r="P339">
        <f>K339-L339+M339-N339-O339</f>
        <v>38766.36</v>
      </c>
      <c r="R339">
        <f>G339/F339</f>
        <v>56.666666666666664</v>
      </c>
    </row>
    <row r="340">
      <c r="A340">
        <v>330</v>
      </c>
      <c r="B340" t="str">
        <v>17*12*2025</v>
      </c>
      <c r="C340" t="str">
        <v>RAVI ANNA</v>
      </c>
      <c r="D340" t="str">
        <v>\</v>
      </c>
      <c r="E340">
        <v>8217456517</v>
      </c>
      <c r="F340">
        <v>20</v>
      </c>
      <c r="G340">
        <v>1230</v>
      </c>
      <c r="H340">
        <f>G340*3/100</f>
        <v>36.9</v>
      </c>
      <c r="I340">
        <f>G340-H340</f>
        <v>1193.1</v>
      </c>
      <c r="J340">
        <v>20</v>
      </c>
      <c r="K340">
        <f>I340*J340</f>
        <v>23862</v>
      </c>
      <c r="L340">
        <f>F340*6</f>
        <v>120</v>
      </c>
      <c r="P340">
        <f>K340-L340+M340-N340-O340</f>
        <v>23742</v>
      </c>
      <c r="R340">
        <f>G340/F340</f>
        <v>61.5</v>
      </c>
    </row>
    <row r="341">
      <c r="A341">
        <v>331</v>
      </c>
      <c r="B341" t="str">
        <v>17*12*2025</v>
      </c>
      <c r="C341" t="str">
        <v>RAVI ANNA</v>
      </c>
      <c r="D341" t="str">
        <v>BELEMALURU</v>
      </c>
      <c r="E341">
        <v>8217456517</v>
      </c>
      <c r="F341">
        <v>115</v>
      </c>
      <c r="G341">
        <v>6680</v>
      </c>
      <c r="H341">
        <f>G341*3/100</f>
        <v>200.4</v>
      </c>
      <c r="I341">
        <f>G341-H341</f>
        <v>6479.6</v>
      </c>
      <c r="J341">
        <v>20</v>
      </c>
      <c r="K341">
        <f>I341*J341</f>
        <v>129592</v>
      </c>
      <c r="L341">
        <f>F341*6</f>
        <v>690</v>
      </c>
      <c r="P341">
        <f>K341-L341+M341-N341-O341</f>
        <v>128902</v>
      </c>
      <c r="R341">
        <f>G341/F341</f>
        <v>58.08695652173913</v>
      </c>
    </row>
    <row r="342">
      <c r="A342">
        <v>332</v>
      </c>
      <c r="B342" t="str">
        <v>17*12*2025</v>
      </c>
      <c r="C342" t="str">
        <v>MAILARI</v>
      </c>
      <c r="D342" t="str">
        <v>BELEMALURU</v>
      </c>
      <c r="E342">
        <v>8496968026</v>
      </c>
      <c r="F342">
        <v>62</v>
      </c>
      <c r="G342">
        <v>3590</v>
      </c>
      <c r="H342">
        <f>G342*3/100</f>
        <v>107.7</v>
      </c>
      <c r="I342">
        <f>G342-H342</f>
        <v>3482.3</v>
      </c>
      <c r="J342">
        <v>20</v>
      </c>
      <c r="K342">
        <f>I342*J342</f>
        <v>69646</v>
      </c>
      <c r="L342">
        <f>F342*6</f>
        <v>372</v>
      </c>
      <c r="P342">
        <f>K342-L342+M342-N342-O342</f>
        <v>69274</v>
      </c>
      <c r="R342">
        <f>G342/F342</f>
        <v>57.903225806451616</v>
      </c>
    </row>
    <row r="343">
      <c r="A343">
        <v>333</v>
      </c>
      <c r="B343" t="str">
        <v>18*12*2025</v>
      </c>
      <c r="C343" t="str">
        <v>SATHISH NAYAK</v>
      </c>
      <c r="D343" t="str">
        <v>HANUMASAGARA</v>
      </c>
      <c r="E343">
        <v>9108376116</v>
      </c>
      <c r="F343">
        <v>32</v>
      </c>
      <c r="G343">
        <v>1880</v>
      </c>
      <c r="H343">
        <f>G343*3/100</f>
        <v>56.4</v>
      </c>
      <c r="I343">
        <f>G343-H343</f>
        <v>1823.6</v>
      </c>
      <c r="J343">
        <v>19.1</v>
      </c>
      <c r="K343">
        <f>I343*J343</f>
        <v>34830.76</v>
      </c>
      <c r="L343">
        <f>F343*6</f>
        <v>192</v>
      </c>
      <c r="P343">
        <f>K343-L343+M343-N343-O343</f>
        <v>34638.76</v>
      </c>
      <c r="R343">
        <f>G343/F343</f>
        <v>58.75</v>
      </c>
    </row>
    <row r="344">
      <c r="A344">
        <v>334</v>
      </c>
      <c r="B344" t="str">
        <v>18*12*2025</v>
      </c>
      <c r="C344" t="str">
        <v>BASAVANA GOWDA</v>
      </c>
      <c r="D344" t="str">
        <v>THARNHALLI</v>
      </c>
      <c r="E344">
        <v>8495094081</v>
      </c>
      <c r="F344">
        <v>47</v>
      </c>
      <c r="G344">
        <v>2740</v>
      </c>
      <c r="H344">
        <f>G344*3/100</f>
        <v>82.2</v>
      </c>
      <c r="I344">
        <f>G344-H344</f>
        <v>2657.8</v>
      </c>
      <c r="J344">
        <v>19.1</v>
      </c>
      <c r="K344">
        <f>I344*J344</f>
        <v>50763.98000000001</v>
      </c>
      <c r="L344">
        <f>F344*6</f>
        <v>282</v>
      </c>
      <c r="P344">
        <f>K344-L344+M344-N344-O344</f>
        <v>50481.98000000001</v>
      </c>
      <c r="R344">
        <f>G344/F344</f>
        <v>58.297872340425535</v>
      </c>
    </row>
    <row r="345">
      <c r="A345">
        <v>335</v>
      </c>
      <c r="B345" t="str">
        <v>18*12*2025</v>
      </c>
      <c r="C345" t="str">
        <v>HARISH</v>
      </c>
      <c r="D345" t="str">
        <v>THARNHALLI</v>
      </c>
      <c r="E345">
        <v>8197104032</v>
      </c>
      <c r="F345">
        <v>51</v>
      </c>
      <c r="G345">
        <v>2950</v>
      </c>
      <c r="H345">
        <f>G345*3/100</f>
        <v>88.5</v>
      </c>
      <c r="I345">
        <f>G345-H345</f>
        <v>2861.5</v>
      </c>
      <c r="J345">
        <v>19.1</v>
      </c>
      <c r="K345">
        <f>I345*J345</f>
        <v>54654.65</v>
      </c>
      <c r="L345">
        <f>F345*6</f>
        <v>306</v>
      </c>
      <c r="P345">
        <f>K345-L345+M345-N345-O345</f>
        <v>54348.65</v>
      </c>
      <c r="R345">
        <f>G345/F345</f>
        <v>57.84313725490196</v>
      </c>
    </row>
    <row r="346">
      <c r="A346">
        <v>336</v>
      </c>
      <c r="B346" t="str">
        <v>18*12*2025</v>
      </c>
      <c r="C346" t="str">
        <v>NAGARAJ</v>
      </c>
      <c r="D346" t="str">
        <v>THARNHALLI</v>
      </c>
      <c r="E346">
        <v>8495830350</v>
      </c>
      <c r="F346">
        <v>36</v>
      </c>
      <c r="G346">
        <v>2100</v>
      </c>
      <c r="H346">
        <f>G346*3/100</f>
        <v>63</v>
      </c>
      <c r="I346">
        <f>G346-H346</f>
        <v>2037</v>
      </c>
      <c r="J346">
        <v>19.4</v>
      </c>
      <c r="K346">
        <f>I346*J346</f>
        <v>39517.799999999996</v>
      </c>
      <c r="L346">
        <f>F346*6</f>
        <v>216</v>
      </c>
      <c r="P346">
        <f>K346-L346+M346-N346-O346</f>
        <v>39301.799999999996</v>
      </c>
      <c r="R346">
        <f>G346/F346</f>
        <v>58.333333333333336</v>
      </c>
    </row>
    <row r="347">
      <c r="A347">
        <v>337</v>
      </c>
      <c r="B347" t="str">
        <v>18*12*2025</v>
      </c>
      <c r="C347" t="str">
        <v>BEERAPPA</v>
      </c>
      <c r="D347" t="str">
        <v>THARNHALLI</v>
      </c>
      <c r="E347">
        <v>9972948847</v>
      </c>
      <c r="F347">
        <v>47</v>
      </c>
      <c r="G347">
        <v>2680</v>
      </c>
      <c r="H347">
        <f>G347*3/100</f>
        <v>80.4</v>
      </c>
      <c r="I347">
        <f>G347-H347</f>
        <v>2599.6</v>
      </c>
      <c r="J347">
        <v>19.4</v>
      </c>
      <c r="K347">
        <f>I347*J347</f>
        <v>50432.24</v>
      </c>
      <c r="L347">
        <f>F347*6</f>
        <v>282</v>
      </c>
      <c r="P347">
        <f>K347-L347+M347-N347-O347</f>
        <v>50150.24</v>
      </c>
      <c r="R347">
        <f>G347/F347</f>
        <v>57.02127659574468</v>
      </c>
    </row>
    <row r="348">
      <c r="A348">
        <v>338</v>
      </c>
      <c r="B348" t="str">
        <v>18*12*2025</v>
      </c>
      <c r="C348" t="str">
        <v xml:space="preserve">BASAPPA </v>
      </c>
      <c r="D348" t="str">
        <v>KONAYAKAHALLI</v>
      </c>
      <c r="E348">
        <v>7795701246</v>
      </c>
      <c r="F348">
        <v>13</v>
      </c>
      <c r="G348">
        <v>780</v>
      </c>
      <c r="H348">
        <f>G348*3/100</f>
        <v>23.4</v>
      </c>
      <c r="I348">
        <f>G348-H348</f>
        <v>756.6</v>
      </c>
      <c r="J348">
        <v>19</v>
      </c>
      <c r="K348">
        <f>I348*J348</f>
        <v>14375.4</v>
      </c>
      <c r="L348">
        <f>F348*6</f>
        <v>78</v>
      </c>
      <c r="P348">
        <f>K348-L348+M348-N348-O348</f>
        <v>14297.4</v>
      </c>
      <c r="R348">
        <f>G348/F348</f>
        <v>60</v>
      </c>
    </row>
    <row r="349">
      <c r="A349">
        <v>339</v>
      </c>
      <c r="B349" t="str">
        <v>18*12*2025</v>
      </c>
      <c r="C349" t="str">
        <v>LINGARAJ</v>
      </c>
      <c r="D349" t="str">
        <v>MASDI</v>
      </c>
      <c r="E349">
        <v>9108323075</v>
      </c>
      <c r="F349">
        <v>80</v>
      </c>
      <c r="G349">
        <v>4700</v>
      </c>
      <c r="H349">
        <f>G349*3/100</f>
        <v>141</v>
      </c>
      <c r="I349">
        <f>G349-H349</f>
        <v>4559</v>
      </c>
      <c r="J349">
        <v>19.6</v>
      </c>
      <c r="K349">
        <f>I349*J349</f>
        <v>89356.40000000001</v>
      </c>
      <c r="L349">
        <f>F349*6</f>
        <v>480</v>
      </c>
      <c r="P349">
        <f>K349-L349+M349-N349-O349</f>
        <v>88876.40000000001</v>
      </c>
      <c r="R349">
        <f>G349/F349</f>
        <v>58.75</v>
      </c>
    </row>
    <row r="350">
      <c r="A350">
        <v>340</v>
      </c>
      <c r="B350" t="str">
        <v>18*12*2025</v>
      </c>
      <c r="C350" t="str">
        <v>SHREYAS</v>
      </c>
      <c r="D350" t="str">
        <v>BALESHWARA</v>
      </c>
      <c r="E350">
        <v>8108088036</v>
      </c>
      <c r="F350">
        <v>107</v>
      </c>
      <c r="G350">
        <v>6160</v>
      </c>
      <c r="H350">
        <f>G350*3/100</f>
        <v>184.8</v>
      </c>
      <c r="I350">
        <f>G350-H350</f>
        <v>5975.2</v>
      </c>
      <c r="J350">
        <v>19.6</v>
      </c>
      <c r="K350">
        <f>I350*J350</f>
        <v>117113.92</v>
      </c>
      <c r="L350">
        <f>F350*6</f>
        <v>642</v>
      </c>
      <c r="P350">
        <f>K350-L350+M350-N350-O350</f>
        <v>116471.92</v>
      </c>
      <c r="R350">
        <f>G350/F350</f>
        <v>57.570093457943926</v>
      </c>
    </row>
    <row r="351">
      <c r="A351">
        <v>341</v>
      </c>
      <c r="B351" t="str">
        <v>18*12*2025</v>
      </c>
      <c r="C351" t="str">
        <v>PRAMOD LAWER</v>
      </c>
      <c r="D351" t="str">
        <v>BALESHWARA</v>
      </c>
      <c r="E351">
        <v>8875215116</v>
      </c>
      <c r="F351">
        <v>58</v>
      </c>
      <c r="G351">
        <v>3410</v>
      </c>
      <c r="H351">
        <f>G351*3/100</f>
        <v>102.3</v>
      </c>
      <c r="I351">
        <f>G351-H351</f>
        <v>3307.7</v>
      </c>
      <c r="J351">
        <v>19.6</v>
      </c>
      <c r="K351">
        <f>I351*J351</f>
        <v>64830.92</v>
      </c>
      <c r="L351">
        <f>F351*6</f>
        <v>348</v>
      </c>
      <c r="P351">
        <f>K351-L351+M351-N351-O351</f>
        <v>64482.92</v>
      </c>
      <c r="R351">
        <f>G351/F351</f>
        <v>58.793103448275865</v>
      </c>
    </row>
    <row r="352">
      <c r="A352">
        <v>342</v>
      </c>
      <c r="B352" t="str">
        <v>19*12*2024</v>
      </c>
      <c r="C352" t="str">
        <v>RAMWSH TALWAR</v>
      </c>
      <c r="D352" t="str">
        <v>HEREKABAR</v>
      </c>
      <c r="E352">
        <v>9731196511</v>
      </c>
      <c r="F352">
        <v>8</v>
      </c>
      <c r="G352">
        <v>440</v>
      </c>
      <c r="H352">
        <f>G352*3/100</f>
        <v>13.2</v>
      </c>
      <c r="I352">
        <f>G352-H352</f>
        <v>426.8</v>
      </c>
      <c r="J352">
        <v>19.3</v>
      </c>
      <c r="K352">
        <f>I352*J352</f>
        <v>8237.24</v>
      </c>
      <c r="L352">
        <f>F352*6</f>
        <v>48</v>
      </c>
      <c r="P352">
        <f>K352-L352+M352-N352-O352</f>
        <v>8189.24</v>
      </c>
      <c r="R352">
        <f>G352/F352</f>
        <v>55</v>
      </c>
    </row>
    <row r="353">
      <c r="A353">
        <v>343</v>
      </c>
      <c r="B353" t="str">
        <v>19*12*2024</v>
      </c>
      <c r="C353" t="str">
        <v>SHATHARAJ</v>
      </c>
      <c r="D353" t="str">
        <v>BENKAHALLI</v>
      </c>
      <c r="E353">
        <v>9972509290</v>
      </c>
      <c r="F353">
        <v>72</v>
      </c>
      <c r="G353">
        <v>4130</v>
      </c>
      <c r="H353">
        <f>G353*3/100</f>
        <v>123.9</v>
      </c>
      <c r="I353">
        <f>G353-H353</f>
        <v>4006.1</v>
      </c>
      <c r="J353">
        <v>19.1</v>
      </c>
      <c r="K353">
        <f>I353*J353</f>
        <v>76516.51000000001</v>
      </c>
      <c r="L353">
        <f>F353*6</f>
        <v>432</v>
      </c>
      <c r="P353">
        <f>K353-L353+M353-N353-O353</f>
        <v>76084.51000000001</v>
      </c>
      <c r="R353">
        <f>G353/F353</f>
        <v>57.361111111111114</v>
      </c>
    </row>
    <row r="354">
      <c r="A354">
        <v>344</v>
      </c>
      <c r="B354" t="str">
        <v>19*12*2024</v>
      </c>
      <c r="C354" t="str">
        <v>DEVU ANNA</v>
      </c>
      <c r="D354" t="str">
        <v>HONNALI</v>
      </c>
      <c r="E354">
        <v>9743836688</v>
      </c>
      <c r="F354">
        <v>106</v>
      </c>
      <c r="G354">
        <v>6170</v>
      </c>
      <c r="H354">
        <f>G354*3/100</f>
        <v>185.1</v>
      </c>
      <c r="I354">
        <f>G354-H354</f>
        <v>5984.9</v>
      </c>
      <c r="J354">
        <v>19.1</v>
      </c>
      <c r="K354">
        <f>I354*J354</f>
        <v>114311.59</v>
      </c>
      <c r="L354">
        <f>F354*6</f>
        <v>636</v>
      </c>
      <c r="P354">
        <f>K354-L354+M354-N354-O354</f>
        <v>113675.59</v>
      </c>
      <c r="R354">
        <f>G354/F354</f>
        <v>58.20754716981132</v>
      </c>
    </row>
    <row r="355">
      <c r="A355">
        <v>345</v>
      </c>
      <c r="B355" t="str">
        <v>19*12*2024</v>
      </c>
      <c r="C355" t="str">
        <v>RAMMAPPA</v>
      </c>
      <c r="D355" t="str">
        <v>GOPAHALLI</v>
      </c>
      <c r="E355">
        <v>9663196322</v>
      </c>
      <c r="F355">
        <v>44</v>
      </c>
      <c r="G355">
        <v>2470</v>
      </c>
      <c r="H355">
        <f>G355*3/100</f>
        <v>74.1</v>
      </c>
      <c r="I355">
        <f>G355-H355</f>
        <v>2395.9</v>
      </c>
      <c r="J355">
        <v>19</v>
      </c>
      <c r="K355">
        <f>I355*J355</f>
        <v>45522.1</v>
      </c>
      <c r="L355">
        <f>F355*6</f>
        <v>264</v>
      </c>
      <c r="P355">
        <f>K355-L355+M355-N355-O355</f>
        <v>45258.1</v>
      </c>
      <c r="R355">
        <f>G355/F355</f>
        <v>56.13636363636363</v>
      </c>
    </row>
    <row r="356">
      <c r="A356">
        <v>346</v>
      </c>
      <c r="B356" t="str">
        <v>19*12*2024</v>
      </c>
      <c r="C356" t="str">
        <v>SIDAPPA</v>
      </c>
      <c r="D356" t="str">
        <v>GOPAHALLI</v>
      </c>
      <c r="E356">
        <v>9380051974</v>
      </c>
      <c r="F356">
        <v>32</v>
      </c>
      <c r="G356">
        <v>1820</v>
      </c>
      <c r="H356">
        <f>G356*3/100</f>
        <v>54.6</v>
      </c>
      <c r="I356">
        <f>G356-H356</f>
        <v>1765.4</v>
      </c>
      <c r="J356">
        <v>19.3</v>
      </c>
      <c r="K356">
        <f>I356*J356</f>
        <v>34072.22</v>
      </c>
      <c r="L356">
        <f>F356*6</f>
        <v>192</v>
      </c>
      <c r="P356">
        <f>K356-L356+M356-N356-O356</f>
        <v>33880.22</v>
      </c>
      <c r="R356">
        <f>G356/F356</f>
        <v>56.875</v>
      </c>
    </row>
    <row r="357">
      <c r="A357">
        <v>347</v>
      </c>
      <c r="B357" t="str">
        <v>19*12*2024</v>
      </c>
      <c r="C357" t="str">
        <v>KUMAR</v>
      </c>
      <c r="D357" t="str">
        <v>GOPAHALLI</v>
      </c>
      <c r="E357">
        <v>9743603023</v>
      </c>
      <c r="F357">
        <v>94</v>
      </c>
      <c r="G357">
        <v>5460</v>
      </c>
      <c r="H357">
        <f>G357*3/100</f>
        <v>163.8</v>
      </c>
      <c r="I357">
        <f>G357-H357</f>
        <v>5296.2</v>
      </c>
      <c r="J357">
        <v>19.3</v>
      </c>
      <c r="K357">
        <f>I357*J357</f>
        <v>102216.66</v>
      </c>
      <c r="L357">
        <f>F357*6</f>
        <v>564</v>
      </c>
      <c r="P357">
        <f>K357-L357+M357-N357-O357</f>
        <v>101652.66</v>
      </c>
      <c r="R357">
        <f>G357/F357</f>
        <v>58.08510638297872</v>
      </c>
    </row>
    <row r="358">
      <c r="A358">
        <v>348</v>
      </c>
      <c r="B358" t="str">
        <v>20*12*2024</v>
      </c>
      <c r="C358" t="str">
        <v xml:space="preserve">KIRAN </v>
      </c>
      <c r="D358" t="str">
        <v>HONNALI</v>
      </c>
      <c r="E358">
        <v>8792087440</v>
      </c>
      <c r="F358">
        <v>24</v>
      </c>
      <c r="G358">
        <v>1340</v>
      </c>
      <c r="H358">
        <f>G358*3/100</f>
        <v>40.2</v>
      </c>
      <c r="I358">
        <f>G358-H358</f>
        <v>1299.8</v>
      </c>
      <c r="J358">
        <v>19.1</v>
      </c>
      <c r="K358">
        <f>I358*J358</f>
        <v>24826.18</v>
      </c>
      <c r="L358">
        <f>F358*6</f>
        <v>144</v>
      </c>
      <c r="P358">
        <f>K358-L358+M358-N358-O358</f>
        <v>24682.18</v>
      </c>
      <c r="R358">
        <f>G358/F358</f>
        <v>55.833333333333336</v>
      </c>
    </row>
    <row r="359">
      <c r="A359">
        <v>349</v>
      </c>
      <c r="B359" t="str">
        <v>20*12*2025</v>
      </c>
      <c r="C359" t="str">
        <v>RUDRESH</v>
      </c>
      <c r="D359" t="str">
        <v>BELEMALURU</v>
      </c>
      <c r="E359">
        <v>8147240270</v>
      </c>
      <c r="F359">
        <v>14</v>
      </c>
      <c r="G359">
        <v>860</v>
      </c>
      <c r="H359">
        <f>G359*3/100</f>
        <v>25.8</v>
      </c>
      <c r="I359">
        <f>G359-H359</f>
        <v>834.2</v>
      </c>
      <c r="J359">
        <v>18.65</v>
      </c>
      <c r="K359">
        <f>I359*J359</f>
        <v>15557.83</v>
      </c>
      <c r="L359">
        <f>F359*6</f>
        <v>84</v>
      </c>
      <c r="P359">
        <f>K359-L359+M359-N359-O359</f>
        <v>15473.83</v>
      </c>
      <c r="R359">
        <f>G359/F359</f>
        <v>61.42857142857143</v>
      </c>
    </row>
    <row r="360">
      <c r="A360">
        <v>350</v>
      </c>
      <c r="B360" t="str">
        <v>20*12*2025</v>
      </c>
      <c r="C360" t="str">
        <v>SHIVAKUMAR</v>
      </c>
      <c r="D360" t="str">
        <v>BELRMALURU</v>
      </c>
      <c r="E360">
        <v>8792650347</v>
      </c>
      <c r="F360">
        <v>26</v>
      </c>
      <c r="G360">
        <v>1550</v>
      </c>
      <c r="H360">
        <f>G360*3/100</f>
        <v>46.5</v>
      </c>
      <c r="I360">
        <f>G360-H360</f>
        <v>1503.5</v>
      </c>
      <c r="J360">
        <v>18.65</v>
      </c>
      <c r="K360">
        <f>I360*J360</f>
        <v>28040.274999999998</v>
      </c>
      <c r="L360">
        <f>F360*6</f>
        <v>156</v>
      </c>
      <c r="P360">
        <f>K360-L360+M360-N360-O360</f>
        <v>27884.274999999998</v>
      </c>
      <c r="R360">
        <f>G360/F360</f>
        <v>59.61538461538461</v>
      </c>
    </row>
    <row r="361">
      <c r="A361">
        <v>351</v>
      </c>
      <c r="B361" t="str">
        <v>20*12*2025</v>
      </c>
      <c r="C361" t="str">
        <v>PRAMESH</v>
      </c>
      <c r="D361" t="str">
        <v>THARHALLI</v>
      </c>
      <c r="F361">
        <v>27</v>
      </c>
      <c r="G361">
        <v>1590</v>
      </c>
      <c r="H361">
        <f>G361*3/100</f>
        <v>47.7</v>
      </c>
      <c r="I361">
        <f>G361-H361</f>
        <v>1542.3</v>
      </c>
      <c r="J361">
        <v>19</v>
      </c>
      <c r="K361">
        <f>I361*J361</f>
        <v>29303.7</v>
      </c>
      <c r="L361">
        <f>F361*6</f>
        <v>162</v>
      </c>
      <c r="P361">
        <f>K361-L361+M361-N361-O361</f>
        <v>29141.7</v>
      </c>
      <c r="R361">
        <f>G361/F361</f>
        <v>58.888888888888886</v>
      </c>
    </row>
    <row r="362">
      <c r="A362">
        <v>352</v>
      </c>
      <c r="B362" t="str">
        <v>21*12*2025</v>
      </c>
      <c r="C362" t="str">
        <v>CHANDRAPPA</v>
      </c>
      <c r="D362" t="str">
        <v>GOLARAHALLI</v>
      </c>
      <c r="E362">
        <v>9945035871</v>
      </c>
      <c r="F362">
        <v>158</v>
      </c>
      <c r="G362">
        <v>9380</v>
      </c>
      <c r="H362">
        <f>G362*3/100</f>
        <v>281.4</v>
      </c>
      <c r="I362">
        <f>G362-H362</f>
        <v>9098.6</v>
      </c>
      <c r="J362">
        <v>19.6</v>
      </c>
      <c r="K362">
        <f>I362*J362</f>
        <v>178332.56000000003</v>
      </c>
      <c r="L362">
        <f>F362*6</f>
        <v>948</v>
      </c>
      <c r="P362">
        <f>K362-L362+M362-N362-O362</f>
        <v>177384.56000000003</v>
      </c>
      <c r="R362">
        <f>G362/F362</f>
        <v>59.36708860759494</v>
      </c>
    </row>
    <row r="363">
      <c r="A363">
        <v>353</v>
      </c>
      <c r="B363" t="str">
        <v>21*12*2025</v>
      </c>
      <c r="C363" t="str">
        <v>NAGARAJAPPA</v>
      </c>
      <c r="D363" t="str">
        <v>GOLARAHALLI</v>
      </c>
      <c r="E363">
        <v>9945035871</v>
      </c>
      <c r="F363">
        <v>178</v>
      </c>
      <c r="G363">
        <v>10350</v>
      </c>
      <c r="H363">
        <f>G363*3/100</f>
        <v>310.5</v>
      </c>
      <c r="I363">
        <f>G363-H363</f>
        <v>10039.5</v>
      </c>
      <c r="J363">
        <v>19.6</v>
      </c>
      <c r="K363">
        <f>I363*J363</f>
        <v>196774.2</v>
      </c>
      <c r="L363">
        <f>F363*6</f>
        <v>1068</v>
      </c>
      <c r="P363">
        <f>K363-L363+M363-N363-O363</f>
        <v>195706.2</v>
      </c>
      <c r="R363">
        <f>G363/F363</f>
        <v>58.146067415730336</v>
      </c>
    </row>
    <row r="364">
      <c r="A364">
        <v>354</v>
      </c>
      <c r="B364" t="str">
        <v>21*12*2025</v>
      </c>
      <c r="C364" t="str">
        <v>BEERAPPA</v>
      </c>
      <c r="D364" t="str">
        <v>MASDI</v>
      </c>
      <c r="E364">
        <v>9986294362</v>
      </c>
      <c r="F364">
        <v>160</v>
      </c>
      <c r="G364">
        <v>9290</v>
      </c>
      <c r="H364">
        <f>G364*3/100</f>
        <v>278.7</v>
      </c>
      <c r="I364">
        <f>G364-H364</f>
        <v>9011.3</v>
      </c>
      <c r="J364">
        <v>19</v>
      </c>
      <c r="K364">
        <f>I364*J364</f>
        <v>171214.69999999998</v>
      </c>
      <c r="L364">
        <f>F364*6</f>
        <v>960</v>
      </c>
      <c r="P364">
        <f>K364-L364+M364-N364-O364</f>
        <v>170254.69999999998</v>
      </c>
      <c r="R364">
        <f>G364/F364</f>
        <v>58.0625</v>
      </c>
    </row>
    <row r="365">
      <c r="A365">
        <v>355</v>
      </c>
      <c r="B365" t="str">
        <v>21*12*2025</v>
      </c>
      <c r="C365" t="str">
        <v>BENKESHI</v>
      </c>
      <c r="D365" t="str">
        <v>BELEMALURU</v>
      </c>
      <c r="E365">
        <v>9945281366</v>
      </c>
      <c r="F365">
        <v>52</v>
      </c>
      <c r="G365">
        <v>2980</v>
      </c>
      <c r="H365">
        <f>G365*3/100</f>
        <v>89.4</v>
      </c>
      <c r="I365">
        <f>G365-H365</f>
        <v>2890.6</v>
      </c>
      <c r="J365">
        <v>19</v>
      </c>
      <c r="K365">
        <f>I365*J365</f>
        <v>54921.4</v>
      </c>
      <c r="L365">
        <f>F365*6</f>
        <v>312</v>
      </c>
      <c r="P365">
        <f>K365-L365+M365-N365-O365</f>
        <v>54609.4</v>
      </c>
      <c r="R365">
        <f>G365/F365</f>
        <v>57.30769230769231</v>
      </c>
    </row>
    <row r="366">
      <c r="A366">
        <v>356</v>
      </c>
      <c r="B366" t="str">
        <v>21*12*2025</v>
      </c>
      <c r="C366" t="str">
        <v>HANMATHA</v>
      </c>
      <c r="D366" t="str">
        <v>BELEMALURU</v>
      </c>
      <c r="E366">
        <v>9731860392</v>
      </c>
      <c r="F366">
        <v>26</v>
      </c>
      <c r="G366">
        <v>1500</v>
      </c>
      <c r="H366">
        <f>G366*3/100</f>
        <v>45</v>
      </c>
      <c r="I366">
        <f>G366-H366</f>
        <v>1455</v>
      </c>
      <c r="J366">
        <v>18.8</v>
      </c>
      <c r="K366">
        <f>I366*J366</f>
        <v>27354</v>
      </c>
      <c r="L366">
        <f>F366*6</f>
        <v>156</v>
      </c>
      <c r="P366">
        <f>K366-L366+M366-N366-O366</f>
        <v>27198</v>
      </c>
      <c r="R366">
        <f>G366/F366</f>
        <v>57.69230769230769</v>
      </c>
    </row>
    <row r="367">
      <c r="A367">
        <v>357</v>
      </c>
      <c r="B367" t="str">
        <v>23*12*2025</v>
      </c>
      <c r="C367" t="str">
        <v>NAGGARAJAPPA</v>
      </c>
      <c r="D367" t="str">
        <v>MADEHALLI</v>
      </c>
      <c r="E367">
        <v>8861313498</v>
      </c>
      <c r="F367">
        <v>23</v>
      </c>
      <c r="G367">
        <v>1330</v>
      </c>
      <c r="H367">
        <f>G367*3/100</f>
        <v>39.9</v>
      </c>
      <c r="I367">
        <f>G367-H367</f>
        <v>1290.1</v>
      </c>
      <c r="J367">
        <v>18.5</v>
      </c>
      <c r="K367">
        <f>I367*J367</f>
        <v>23866.85</v>
      </c>
      <c r="L367">
        <f>F367*6</f>
        <v>138</v>
      </c>
      <c r="P367">
        <f>K367-L367+M367-N367-O367</f>
        <v>23728.85</v>
      </c>
      <c r="R367">
        <f>G367/F367</f>
        <v>57.82608695652174</v>
      </c>
    </row>
    <row r="368">
      <c r="A368">
        <v>358</v>
      </c>
      <c r="B368" t="str">
        <v>23*12*2025</v>
      </c>
      <c r="C368" t="str">
        <v>SUNIL</v>
      </c>
      <c r="D368" t="str">
        <v>GOLARAHALLI</v>
      </c>
      <c r="E368">
        <v>9731709133</v>
      </c>
      <c r="F368">
        <v>30</v>
      </c>
      <c r="G368">
        <v>1730</v>
      </c>
      <c r="H368">
        <f>G368*3/100</f>
        <v>51.9</v>
      </c>
      <c r="I368">
        <f>G368-H368</f>
        <v>1678.1</v>
      </c>
      <c r="J368">
        <v>19</v>
      </c>
      <c r="K368">
        <f>I368*J368</f>
        <v>31883.899999999998</v>
      </c>
      <c r="L368">
        <f>F368*6</f>
        <v>180</v>
      </c>
      <c r="P368">
        <f>K368-L368+M368-N368-O368</f>
        <v>31703.899999999998</v>
      </c>
      <c r="R368">
        <f>G368/F368</f>
        <v>57.666666666666664</v>
      </c>
    </row>
    <row r="369">
      <c r="A369">
        <v>359</v>
      </c>
      <c r="B369" t="str">
        <v>23*12*2025</v>
      </c>
      <c r="C369" t="str">
        <v>PRAKASH</v>
      </c>
      <c r="D369" t="str">
        <v>GOLARAHALLI</v>
      </c>
      <c r="E369">
        <v>9731709133</v>
      </c>
      <c r="F369">
        <v>86</v>
      </c>
      <c r="G369">
        <v>5040</v>
      </c>
      <c r="H369">
        <f>G369*3/100</f>
        <v>151.2</v>
      </c>
      <c r="I369">
        <f>G369-H369</f>
        <v>4888.8</v>
      </c>
      <c r="J369">
        <v>19</v>
      </c>
      <c r="K369">
        <f>I369*J369</f>
        <v>92887.2</v>
      </c>
      <c r="L369">
        <f>F369*6</f>
        <v>516</v>
      </c>
      <c r="P369">
        <f>K369-L369+M369-N369-O369</f>
        <v>92371.2</v>
      </c>
      <c r="R369">
        <f>G369/F369</f>
        <v>58.604651162790695</v>
      </c>
    </row>
    <row r="370">
      <c r="A370">
        <v>360</v>
      </c>
      <c r="B370" t="str">
        <v>23*12*2025</v>
      </c>
      <c r="C370" t="str">
        <v>MANJUNATH</v>
      </c>
      <c r="D370" t="str">
        <v>GOLARAHALLI</v>
      </c>
      <c r="E370">
        <v>9731709133</v>
      </c>
      <c r="F370">
        <v>317</v>
      </c>
      <c r="G370">
        <v>18530</v>
      </c>
      <c r="H370">
        <f>G370*3/100</f>
        <v>555.9</v>
      </c>
      <c r="I370">
        <f>G370-H370</f>
        <v>17974.1</v>
      </c>
      <c r="J370">
        <v>19</v>
      </c>
      <c r="K370">
        <f>I370*J370</f>
        <v>341507.89999999997</v>
      </c>
      <c r="L370">
        <f>F370*6</f>
        <v>1902</v>
      </c>
      <c r="P370">
        <f>K370-L370+M370-N370-O370</f>
        <v>339605.89999999997</v>
      </c>
      <c r="R370">
        <f>G370/F370</f>
        <v>58.45425867507886</v>
      </c>
    </row>
    <row r="371">
      <c r="A371">
        <v>361</v>
      </c>
      <c r="B371" t="str">
        <v>23*12*2025</v>
      </c>
      <c r="C371" t="str">
        <v>MANJUNATH</v>
      </c>
      <c r="D371" t="str">
        <v>HONNALI</v>
      </c>
      <c r="E371">
        <v>8073023837</v>
      </c>
      <c r="F371">
        <v>128</v>
      </c>
      <c r="G371">
        <v>7540</v>
      </c>
      <c r="H371">
        <f>G371*3/100</f>
        <v>226.2</v>
      </c>
      <c r="I371">
        <f>G371-H371</f>
        <v>7313.8</v>
      </c>
      <c r="J371">
        <v>18.75</v>
      </c>
      <c r="K371">
        <f>I371*J371</f>
        <v>137133.75</v>
      </c>
      <c r="L371">
        <f>F371*6</f>
        <v>768</v>
      </c>
      <c r="P371">
        <f>K371-L371+M371-N371-O371</f>
        <v>136365.75</v>
      </c>
      <c r="R371">
        <f>G371/F371</f>
        <v>58.90625</v>
      </c>
    </row>
    <row r="372">
      <c r="A372">
        <v>362</v>
      </c>
      <c r="B372" t="str">
        <v>23*12*2025</v>
      </c>
      <c r="C372" t="str">
        <v>DUGAPPA</v>
      </c>
      <c r="D372" t="str">
        <v>HEREKABAR</v>
      </c>
      <c r="E372">
        <v>9731196511</v>
      </c>
      <c r="F372">
        <v>8</v>
      </c>
      <c r="G372">
        <v>462</v>
      </c>
      <c r="H372">
        <f>G372*3/100</f>
        <v>13.86</v>
      </c>
      <c r="I372">
        <f>G372-H372</f>
        <v>448.14</v>
      </c>
      <c r="J372">
        <v>18.8</v>
      </c>
      <c r="K372">
        <f>I372*J372</f>
        <v>8425.032</v>
      </c>
      <c r="L372">
        <f>F372*6</f>
        <v>48</v>
      </c>
      <c r="P372">
        <f>K372-L372+M372-N372-O372</f>
        <v>8377.032</v>
      </c>
      <c r="R372">
        <f>G372/F372</f>
        <v>57.75</v>
      </c>
    </row>
    <row r="373">
      <c r="A373">
        <v>363</v>
      </c>
      <c r="B373" t="str">
        <v>23*12*2025</v>
      </c>
      <c r="C373" t="str">
        <v>MARUTHI</v>
      </c>
      <c r="D373" t="str">
        <v>ARKERE</v>
      </c>
      <c r="E373">
        <v>8495837548</v>
      </c>
      <c r="F373">
        <v>128</v>
      </c>
      <c r="G373">
        <v>7750</v>
      </c>
      <c r="H373">
        <f>G373*3/100</f>
        <v>232.5</v>
      </c>
      <c r="I373">
        <f>G373-H373</f>
        <v>7517.5</v>
      </c>
      <c r="J373">
        <v>18.75</v>
      </c>
      <c r="K373">
        <f>I373*J373</f>
        <v>140953.125</v>
      </c>
      <c r="L373">
        <f>F373*6</f>
        <v>768</v>
      </c>
      <c r="P373">
        <f>K373-L373+M373-N373-O373</f>
        <v>140185.125</v>
      </c>
      <c r="R373">
        <f>G373/F373</f>
        <v>60.546875</v>
      </c>
    </row>
    <row r="374">
      <c r="A374">
        <v>364</v>
      </c>
      <c r="B374" t="str">
        <v>23*12*2025</v>
      </c>
      <c r="C374" t="str">
        <v>MAHESH</v>
      </c>
      <c r="D374" t="str">
        <v>MASDI</v>
      </c>
      <c r="E374">
        <v>9164229949</v>
      </c>
      <c r="F374">
        <v>20</v>
      </c>
      <c r="G374">
        <v>1120</v>
      </c>
      <c r="H374">
        <f>G374*3/100</f>
        <v>33.6</v>
      </c>
      <c r="I374">
        <f>G374-H374</f>
        <v>1086.4</v>
      </c>
      <c r="J374">
        <v>18.8</v>
      </c>
      <c r="K374">
        <f>I374*J374</f>
        <v>20424.320000000003</v>
      </c>
      <c r="L374">
        <f>F374*6</f>
        <v>120</v>
      </c>
      <c r="P374">
        <f>K374-L374+M374-N374-O374</f>
        <v>20304.320000000003</v>
      </c>
      <c r="R374">
        <f>G374/F374</f>
        <v>56</v>
      </c>
    </row>
    <row r="375">
      <c r="A375">
        <v>365</v>
      </c>
      <c r="B375" t="str">
        <v>23*12*2025</v>
      </c>
      <c r="C375" t="str">
        <v>KALIGA NAYAKA</v>
      </c>
      <c r="D375" t="str">
        <v>THANDA</v>
      </c>
      <c r="E375">
        <v>88809201258</v>
      </c>
      <c r="F375">
        <v>65</v>
      </c>
      <c r="G375">
        <v>3820</v>
      </c>
      <c r="H375">
        <f>G375*3/100</f>
        <v>114.6</v>
      </c>
      <c r="I375">
        <f>G375-H375</f>
        <v>3705.4</v>
      </c>
      <c r="J375">
        <v>18.75</v>
      </c>
      <c r="K375">
        <f>I375*J375</f>
        <v>69476.25</v>
      </c>
      <c r="L375">
        <f>F375*6</f>
        <v>390</v>
      </c>
      <c r="P375">
        <f>K375-L375+M375-N375-O375</f>
        <v>69086.25</v>
      </c>
      <c r="R375">
        <f>G375/F375</f>
        <v>58.76923076923077</v>
      </c>
    </row>
    <row r="376">
      <c r="A376">
        <v>366</v>
      </c>
      <c r="B376" t="str">
        <v>23*12*2025</v>
      </c>
      <c r="C376" t="str">
        <v>RAMESH NAIK</v>
      </c>
      <c r="D376" t="str">
        <v>HANUMASAGARA</v>
      </c>
      <c r="F376">
        <v>40</v>
      </c>
      <c r="G376">
        <v>2310</v>
      </c>
      <c r="H376">
        <f>G376*3/100</f>
        <v>69.3</v>
      </c>
      <c r="I376">
        <f>G376-H376</f>
        <v>2240.7</v>
      </c>
      <c r="J376">
        <v>18.75</v>
      </c>
      <c r="K376">
        <f>I376*J376</f>
        <v>42013.125</v>
      </c>
      <c r="L376">
        <f>F376*6</f>
        <v>240</v>
      </c>
      <c r="P376">
        <f>K376-L376+M376-N376-O376</f>
        <v>41773.125</v>
      </c>
      <c r="R376">
        <f>G376/F376</f>
        <v>57.75</v>
      </c>
    </row>
    <row r="377">
      <c r="A377">
        <v>367</v>
      </c>
      <c r="B377" t="str">
        <v>23*12*2025</v>
      </c>
      <c r="C377" t="str">
        <v>KUMAR</v>
      </c>
      <c r="D377" t="str">
        <v>NAIYAKA</v>
      </c>
      <c r="E377">
        <v>9743939520</v>
      </c>
      <c r="F377">
        <v>34</v>
      </c>
      <c r="G377">
        <v>1960</v>
      </c>
      <c r="H377">
        <f>G377*3/100</f>
        <v>58.8</v>
      </c>
      <c r="I377">
        <f>G377-H377</f>
        <v>1901.2</v>
      </c>
      <c r="J377">
        <v>18.75</v>
      </c>
      <c r="K377">
        <f>I377*J377</f>
        <v>35647.5</v>
      </c>
      <c r="L377">
        <f>F377*6</f>
        <v>204</v>
      </c>
      <c r="P377">
        <f>K377-L377+M377-N377-O377</f>
        <v>35443.5</v>
      </c>
      <c r="R377">
        <f>G377/F377</f>
        <v>57.64705882352941</v>
      </c>
    </row>
    <row r="378">
      <c r="A378">
        <v>368</v>
      </c>
      <c r="B378" t="str">
        <v>24*12*2025</v>
      </c>
      <c r="C378" t="str">
        <v>ANAPPA NAYAK</v>
      </c>
      <c r="D378" t="str">
        <v>HANUMASAGARA</v>
      </c>
      <c r="F378">
        <v>13</v>
      </c>
      <c r="G378">
        <v>750</v>
      </c>
      <c r="H378">
        <f>G378*3/100</f>
        <v>22.5</v>
      </c>
      <c r="I378">
        <f>G378-H378</f>
        <v>727.5</v>
      </c>
      <c r="J378">
        <v>18.75</v>
      </c>
      <c r="K378">
        <f>I378*J378</f>
        <v>13640.625</v>
      </c>
      <c r="L378">
        <f>F378*6</f>
        <v>78</v>
      </c>
      <c r="P378">
        <f>K378-L378+M378-N378-O378</f>
        <v>13562.625</v>
      </c>
      <c r="R378">
        <f>G378/F378</f>
        <v>57.69230769230769</v>
      </c>
    </row>
    <row r="379">
      <c r="A379">
        <v>369</v>
      </c>
      <c r="B379" t="str">
        <v>24*12*2025</v>
      </c>
      <c r="C379" t="str">
        <v>VINAY</v>
      </c>
      <c r="D379" t="str">
        <v>HEREGONGERE</v>
      </c>
      <c r="E379">
        <v>9686119172</v>
      </c>
      <c r="F379">
        <v>62</v>
      </c>
      <c r="G379">
        <v>3660</v>
      </c>
      <c r="H379">
        <f>G379*3/100</f>
        <v>109.8</v>
      </c>
      <c r="I379">
        <f>G379-H379</f>
        <v>3550.2</v>
      </c>
      <c r="J379">
        <v>18.6</v>
      </c>
      <c r="K379">
        <f>I379*J379</f>
        <v>66033.72</v>
      </c>
      <c r="L379">
        <f>F379*6</f>
        <v>372</v>
      </c>
      <c r="P379">
        <f>K379-L379+M379-N379-O379</f>
        <v>65661.72</v>
      </c>
      <c r="R379">
        <f>G379/F379</f>
        <v>59.03225806451613</v>
      </c>
    </row>
    <row r="380">
      <c r="A380">
        <v>370</v>
      </c>
      <c r="B380" t="str">
        <v>24*12*2025</v>
      </c>
      <c r="C380" t="str">
        <v>NAGARAJ NAIK</v>
      </c>
      <c r="D380" t="str">
        <v>HANUMASAGARA</v>
      </c>
      <c r="E380">
        <v>9972702976</v>
      </c>
      <c r="F380">
        <v>60</v>
      </c>
      <c r="G380">
        <v>3600</v>
      </c>
      <c r="H380">
        <f>G380*3/100</f>
        <v>108</v>
      </c>
      <c r="I380">
        <f>G380-H380</f>
        <v>3492</v>
      </c>
      <c r="J380">
        <v>19</v>
      </c>
      <c r="K380">
        <f>I380*J380</f>
        <v>66348</v>
      </c>
      <c r="L380">
        <f>F380*6</f>
        <v>360</v>
      </c>
      <c r="P380">
        <f>K380-L380+M380-N380-O380</f>
        <v>65988</v>
      </c>
      <c r="R380">
        <f>G380/F380</f>
        <v>60</v>
      </c>
    </row>
    <row r="381">
      <c r="A381">
        <v>371</v>
      </c>
      <c r="B381" t="str">
        <v>24*12*2025</v>
      </c>
      <c r="C381" t="str">
        <v>SHARATH</v>
      </c>
      <c r="D381" t="str">
        <v>NARGODANHALLI</v>
      </c>
      <c r="E381">
        <v>6363907910</v>
      </c>
      <c r="F381">
        <v>39</v>
      </c>
      <c r="G381">
        <v>2100</v>
      </c>
      <c r="H381">
        <f>G381*3/100</f>
        <v>63</v>
      </c>
      <c r="I381">
        <f>G381-H381</f>
        <v>2037</v>
      </c>
      <c r="J381">
        <v>19</v>
      </c>
      <c r="K381">
        <f>I381*J381</f>
        <v>38703</v>
      </c>
      <c r="L381">
        <f>F381*6</f>
        <v>234</v>
      </c>
      <c r="P381">
        <f>K381-L381+M381-N381-O381</f>
        <v>38469</v>
      </c>
      <c r="R381">
        <f>G381/F381</f>
        <v>53.84615384615385</v>
      </c>
    </row>
    <row r="382">
      <c r="A382">
        <v>372</v>
      </c>
      <c r="B382" t="str">
        <v>24*12*2025</v>
      </c>
      <c r="C382" t="str">
        <v>THIPESHAPPA</v>
      </c>
      <c r="D382" t="str">
        <v>HANUMASAGARA</v>
      </c>
      <c r="E382">
        <v>7899495556</v>
      </c>
      <c r="F382">
        <v>53</v>
      </c>
      <c r="G382">
        <v>3080</v>
      </c>
      <c r="H382">
        <f>G382*3/100</f>
        <v>92.4</v>
      </c>
      <c r="I382">
        <f>G382-H382</f>
        <v>2987.6</v>
      </c>
      <c r="J382">
        <v>18.75</v>
      </c>
      <c r="K382">
        <f>I382*J382</f>
        <v>56017.5</v>
      </c>
      <c r="L382">
        <f>F382*6</f>
        <v>318</v>
      </c>
      <c r="P382">
        <f>K382-L382+M382-N382-O382</f>
        <v>55699.5</v>
      </c>
      <c r="R382">
        <f>G382/F382</f>
        <v>58.113207547169814</v>
      </c>
    </row>
    <row r="383">
      <c r="A383">
        <v>373</v>
      </c>
      <c r="B383" t="str">
        <v>24*12*2025</v>
      </c>
      <c r="C383" t="str">
        <v>AJAY NAIK</v>
      </c>
      <c r="D383" t="str">
        <v>HANUMASAGARA</v>
      </c>
      <c r="E383">
        <v>9008138037</v>
      </c>
      <c r="F383">
        <v>38</v>
      </c>
      <c r="G383">
        <v>2180</v>
      </c>
      <c r="H383">
        <f>G383*3/100</f>
        <v>65.4</v>
      </c>
      <c r="I383">
        <f>G383-H383</f>
        <v>2114.6</v>
      </c>
      <c r="J383">
        <v>18.75</v>
      </c>
      <c r="K383">
        <f>I383*J383</f>
        <v>39648.75</v>
      </c>
      <c r="L383">
        <f>F383*6</f>
        <v>228</v>
      </c>
      <c r="P383">
        <f>K383-L383+M383-N383-O383</f>
        <v>39420.75</v>
      </c>
      <c r="R383">
        <f>G383/F383</f>
        <v>57.36842105263158</v>
      </c>
    </row>
    <row r="384">
      <c r="A384">
        <v>374</v>
      </c>
      <c r="B384" t="str">
        <v>24*12*2025</v>
      </c>
      <c r="C384" t="str">
        <v>KUM NAIK</v>
      </c>
      <c r="D384" t="str">
        <v>HANUMASAGARA</v>
      </c>
      <c r="E384">
        <v>9008138037</v>
      </c>
      <c r="F384">
        <v>44</v>
      </c>
      <c r="G384">
        <v>2490</v>
      </c>
      <c r="H384">
        <f>G384*3/100</f>
        <v>74.7</v>
      </c>
      <c r="I384">
        <f>G384-H384</f>
        <v>2415.3</v>
      </c>
      <c r="J384">
        <v>18.75</v>
      </c>
      <c r="K384">
        <f>I384*J384</f>
        <v>45286.875</v>
      </c>
      <c r="L384">
        <f>F384*6</f>
        <v>264</v>
      </c>
      <c r="P384">
        <f>K384-L384+M384-N384-O384</f>
        <v>45022.875</v>
      </c>
      <c r="R384">
        <f>G384/F384</f>
        <v>56.59090909090909</v>
      </c>
    </row>
    <row r="385">
      <c r="A385">
        <v>375</v>
      </c>
      <c r="B385" t="str">
        <v>24*12*2025</v>
      </c>
      <c r="C385" t="str">
        <v>ANNA NAIK</v>
      </c>
      <c r="D385" t="str">
        <v>HANUMASAGARA</v>
      </c>
      <c r="E385">
        <v>8816647326</v>
      </c>
      <c r="F385">
        <v>125</v>
      </c>
      <c r="G385">
        <v>7170</v>
      </c>
      <c r="H385">
        <f>G385*3/100</f>
        <v>215.1</v>
      </c>
      <c r="I385">
        <f>G385-H385</f>
        <v>6954.9</v>
      </c>
      <c r="J385">
        <v>18.75</v>
      </c>
      <c r="K385">
        <f>I385*J385</f>
        <v>130404.375</v>
      </c>
      <c r="L385">
        <f>F385*6</f>
        <v>750</v>
      </c>
      <c r="P385">
        <f>K385-L385+M385-N385-O385</f>
        <v>129654.375</v>
      </c>
      <c r="R385">
        <f>G385/F385</f>
        <v>57.36</v>
      </c>
    </row>
    <row r="386">
      <c r="A386">
        <v>376</v>
      </c>
      <c r="B386" t="str">
        <v>25*12*2025</v>
      </c>
      <c r="C386" t="str">
        <v>RAJU</v>
      </c>
      <c r="D386" t="str">
        <v>HANUMASAGARA</v>
      </c>
      <c r="E386">
        <v>9742223293</v>
      </c>
      <c r="F386">
        <v>208</v>
      </c>
      <c r="G386">
        <v>12250</v>
      </c>
      <c r="H386">
        <f>G386*3/100</f>
        <v>367.5</v>
      </c>
      <c r="I386">
        <f>G386-H386</f>
        <v>11882.5</v>
      </c>
      <c r="J386">
        <v>19</v>
      </c>
      <c r="K386">
        <f>I386*J386</f>
        <v>225767.5</v>
      </c>
      <c r="L386">
        <f>F386*6</f>
        <v>1248</v>
      </c>
      <c r="P386">
        <f>K386-L386+M386-N386-O386</f>
        <v>224519.5</v>
      </c>
      <c r="R386">
        <f>G386/F386</f>
        <v>58.89423076923077</v>
      </c>
    </row>
    <row r="387">
      <c r="A387">
        <v>377</v>
      </c>
      <c r="B387" t="str">
        <v>25*12*2025</v>
      </c>
      <c r="C387" t="str">
        <v>DEVRAJ</v>
      </c>
      <c r="D387" t="str">
        <v>HANUMASAGARA</v>
      </c>
      <c r="E387">
        <v>8105978831</v>
      </c>
      <c r="F387">
        <v>39</v>
      </c>
      <c r="G387">
        <v>2230</v>
      </c>
      <c r="H387">
        <f>G387*3/100</f>
        <v>66.9</v>
      </c>
      <c r="I387">
        <f>G387-H387</f>
        <v>2163.1</v>
      </c>
      <c r="J387">
        <v>18.75</v>
      </c>
      <c r="K387">
        <f>I387*J387</f>
        <v>40558.125</v>
      </c>
      <c r="L387">
        <f>F387*6</f>
        <v>234</v>
      </c>
      <c r="P387">
        <f>K387-L387+M387-N387-O387</f>
        <v>40324.125</v>
      </c>
      <c r="R387">
        <f>G387/F387</f>
        <v>57.17948717948718</v>
      </c>
    </row>
    <row r="388">
      <c r="A388">
        <v>378</v>
      </c>
      <c r="B388" t="str">
        <v>25*12*2025</v>
      </c>
      <c r="C388" t="str">
        <v>KENCHAPPA</v>
      </c>
      <c r="D388" t="str">
        <v>KADAKATE</v>
      </c>
      <c r="E388">
        <v>9620732632</v>
      </c>
      <c r="F388">
        <v>111</v>
      </c>
      <c r="G388">
        <v>6380</v>
      </c>
      <c r="H388">
        <f>G388*3/100</f>
        <v>191.4</v>
      </c>
      <c r="I388">
        <f>G388-H388</f>
        <v>6188.6</v>
      </c>
      <c r="J388">
        <v>18.8</v>
      </c>
      <c r="K388">
        <f>I388*J388</f>
        <v>116345.68000000001</v>
      </c>
      <c r="L388">
        <f>F388*6</f>
        <v>666</v>
      </c>
      <c r="P388">
        <f>K388-L388+M388-N388-O388</f>
        <v>115679.68000000001</v>
      </c>
      <c r="R388">
        <f>G388/F388</f>
        <v>57.47747747747748</v>
      </c>
    </row>
    <row r="389">
      <c r="A389">
        <v>379</v>
      </c>
      <c r="B389" t="str">
        <v>25*12*2025</v>
      </c>
      <c r="C389" t="str">
        <v>MANJUNATH</v>
      </c>
      <c r="D389" t="str">
        <v>KADAKATE</v>
      </c>
      <c r="E389">
        <v>9538702630</v>
      </c>
      <c r="F389">
        <v>42</v>
      </c>
      <c r="G389">
        <v>2360</v>
      </c>
      <c r="H389">
        <f>G389*3/100</f>
        <v>70.8</v>
      </c>
      <c r="I389">
        <f>G389-H389</f>
        <v>2289.2</v>
      </c>
      <c r="J389">
        <v>18.8</v>
      </c>
      <c r="K389">
        <f>I389*J389</f>
        <v>43036.96</v>
      </c>
      <c r="L389">
        <f>F389*6</f>
        <v>252</v>
      </c>
      <c r="P389">
        <f>K389-L389+M389-N389-O389</f>
        <v>42784.96</v>
      </c>
      <c r="R389">
        <f>G389/F389</f>
        <v>56.19047619047619</v>
      </c>
    </row>
    <row r="390">
      <c r="A390">
        <v>380</v>
      </c>
      <c r="B390" t="str">
        <v>25*12*2025</v>
      </c>
      <c r="C390" t="str">
        <v>SURUSH</v>
      </c>
      <c r="D390" t="str">
        <v>KADAKATE</v>
      </c>
      <c r="E390">
        <v>9538758142</v>
      </c>
      <c r="F390">
        <v>75</v>
      </c>
      <c r="G390">
        <v>4390</v>
      </c>
      <c r="H390">
        <f>G390*3/100</f>
        <v>131.7</v>
      </c>
      <c r="I390">
        <f>G390-H390</f>
        <v>4258.3</v>
      </c>
      <c r="J390">
        <v>18.8</v>
      </c>
      <c r="K390">
        <f>I390*J390</f>
        <v>80056.04000000001</v>
      </c>
      <c r="L390">
        <f>F390*6</f>
        <v>450</v>
      </c>
      <c r="P390">
        <f>K390-L390+M390-N390-O390</f>
        <v>79606.04000000001</v>
      </c>
      <c r="R390">
        <f>G390/F390</f>
        <v>58.53333333333333</v>
      </c>
    </row>
    <row r="391">
      <c r="A391">
        <v>381</v>
      </c>
      <c r="B391" t="str">
        <v>25*12*2025</v>
      </c>
      <c r="C391" t="str">
        <v>GOPALLA</v>
      </c>
      <c r="D391" t="str">
        <v>KADAKATE</v>
      </c>
      <c r="E391">
        <v>9742154501</v>
      </c>
      <c r="F391">
        <v>63</v>
      </c>
      <c r="G391">
        <v>3570</v>
      </c>
      <c r="H391">
        <f>G391*3/100</f>
        <v>107.1</v>
      </c>
      <c r="I391">
        <f>G391-H391</f>
        <v>3462.9</v>
      </c>
      <c r="J391">
        <v>18.8</v>
      </c>
      <c r="K391">
        <f>I391*J391</f>
        <v>65102.520000000004</v>
      </c>
      <c r="L391">
        <f>F391*6</f>
        <v>378</v>
      </c>
      <c r="P391">
        <f>K391-L391+M391-N391-O391</f>
        <v>64724.520000000004</v>
      </c>
      <c r="R391">
        <f>G391/F391</f>
        <v>56.666666666666664</v>
      </c>
    </row>
    <row r="392">
      <c r="A392">
        <v>382</v>
      </c>
      <c r="B392" t="str">
        <v>25*12*2025</v>
      </c>
      <c r="C392" t="str">
        <v>NAGARAJPPA</v>
      </c>
      <c r="D392" t="str">
        <v>KADAKATE</v>
      </c>
      <c r="E392">
        <v>9886993044</v>
      </c>
      <c r="F392">
        <v>70</v>
      </c>
      <c r="G392">
        <v>4040</v>
      </c>
      <c r="H392">
        <f>G392*3/100</f>
        <v>121.2</v>
      </c>
      <c r="I392">
        <f>G392-H392</f>
        <v>3918.8</v>
      </c>
      <c r="J392">
        <v>18.8</v>
      </c>
      <c r="K392">
        <f>I392*J392</f>
        <v>73673.44</v>
      </c>
      <c r="L392">
        <f>F392*6</f>
        <v>420</v>
      </c>
      <c r="P392">
        <f>K392-L392+M392-N392-O392</f>
        <v>73253.44</v>
      </c>
      <c r="R392">
        <f>G392/F392</f>
        <v>57.714285714285715</v>
      </c>
    </row>
    <row r="393">
      <c r="A393">
        <v>383</v>
      </c>
      <c r="B393" t="str">
        <v>25*12*2025</v>
      </c>
      <c r="C393" t="str">
        <v>RAJU</v>
      </c>
      <c r="D393" t="str">
        <v>HONNALI</v>
      </c>
      <c r="E393">
        <v>7975354367</v>
      </c>
      <c r="F393">
        <v>9</v>
      </c>
      <c r="G393">
        <v>516</v>
      </c>
      <c r="H393">
        <f>G393*3/100</f>
        <v>15.48</v>
      </c>
      <c r="I393">
        <f>G393-H393</f>
        <v>500.52</v>
      </c>
      <c r="J393">
        <v>18.5</v>
      </c>
      <c r="K393">
        <f>I393*J393</f>
        <v>9259.619999999999</v>
      </c>
      <c r="L393">
        <f>F393*6</f>
        <v>54</v>
      </c>
      <c r="P393">
        <f>K393-L393+M393-N393-O393</f>
        <v>9205.619999999999</v>
      </c>
      <c r="R393">
        <f>G393/F393</f>
        <v>57.333333333333336</v>
      </c>
    </row>
    <row r="394">
      <c r="A394">
        <v>384</v>
      </c>
      <c r="B394" t="str">
        <v>26*12*2025</v>
      </c>
      <c r="C394" t="str">
        <v>ANNAPA</v>
      </c>
      <c r="D394" t="str">
        <v>ARBGATTE</v>
      </c>
      <c r="E394">
        <v>9964176683</v>
      </c>
      <c r="F394">
        <v>45</v>
      </c>
      <c r="G394">
        <v>2670</v>
      </c>
      <c r="H394">
        <f>G394*3/100</f>
        <v>80.1</v>
      </c>
      <c r="I394">
        <f>G394-H394</f>
        <v>2589.9</v>
      </c>
      <c r="J394">
        <v>18.65</v>
      </c>
      <c r="K394">
        <f>I394*J394</f>
        <v>48301.634999999995</v>
      </c>
      <c r="L394">
        <f>F394*6</f>
        <v>270</v>
      </c>
      <c r="P394">
        <f>K394-L394+M394-N394-O394</f>
        <v>48031.634999999995</v>
      </c>
      <c r="R394">
        <f>G394/F394</f>
        <v>59.333333333333336</v>
      </c>
    </row>
    <row r="395">
      <c r="A395">
        <v>385</v>
      </c>
      <c r="B395" t="str">
        <v>26*12*2025</v>
      </c>
      <c r="C395" t="str">
        <v>MC HARISH</v>
      </c>
      <c r="D395" t="str">
        <v>KATHIGE</v>
      </c>
      <c r="E395">
        <v>99001144134</v>
      </c>
      <c r="F395">
        <v>343</v>
      </c>
      <c r="G395">
        <v>19410</v>
      </c>
      <c r="H395">
        <f>G395*3/100</f>
        <v>582.3</v>
      </c>
      <c r="I395">
        <f>G395-H395</f>
        <v>18827.7</v>
      </c>
      <c r="J395">
        <v>18.8</v>
      </c>
      <c r="K395">
        <f>I395*J395</f>
        <v>353960.76</v>
      </c>
      <c r="L395">
        <f>F395*6</f>
        <v>2058</v>
      </c>
      <c r="P395">
        <f>K395-L395+M395-N395-O395</f>
        <v>351902.76</v>
      </c>
      <c r="R395">
        <f>G395/F395</f>
        <v>56.588921282798836</v>
      </c>
    </row>
    <row r="396">
      <c r="A396">
        <v>386</v>
      </c>
      <c r="B396" t="str">
        <v>26*12*2025</v>
      </c>
      <c r="C396" t="str">
        <v>SHANMUKHA</v>
      </c>
      <c r="D396" t="str">
        <v>HONNALI</v>
      </c>
      <c r="E396">
        <v>94148002976</v>
      </c>
      <c r="F396">
        <v>429</v>
      </c>
      <c r="G396">
        <v>24850</v>
      </c>
      <c r="H396">
        <f>G396*3/100</f>
        <v>745.5</v>
      </c>
      <c r="I396">
        <f>G396-H396</f>
        <v>24104.5</v>
      </c>
      <c r="J396">
        <v>19</v>
      </c>
      <c r="K396">
        <f>I396*J396</f>
        <v>457985.5</v>
      </c>
      <c r="L396">
        <f>F396*6</f>
        <v>2574</v>
      </c>
      <c r="P396">
        <f>K396-L396+M396-N396-O396</f>
        <v>455411.5</v>
      </c>
      <c r="R396">
        <f>G396/F396</f>
        <v>57.925407925407924</v>
      </c>
    </row>
    <row r="397">
      <c r="A397">
        <v>387</v>
      </c>
      <c r="B397" t="str">
        <v>27*12*2025</v>
      </c>
      <c r="C397" t="str">
        <v>KUMAR</v>
      </c>
      <c r="D397" t="str">
        <v>HOLESIRIGERE</v>
      </c>
      <c r="E397">
        <v>7411240974</v>
      </c>
      <c r="F397">
        <v>26</v>
      </c>
      <c r="G397">
        <v>1630</v>
      </c>
      <c r="H397">
        <f>G397*3/100</f>
        <v>48.9</v>
      </c>
      <c r="I397">
        <f>G397-H397</f>
        <v>1581.1</v>
      </c>
      <c r="J397">
        <v>18.8</v>
      </c>
      <c r="K397">
        <f>I397*J397</f>
        <v>29724.68</v>
      </c>
      <c r="L397">
        <f>F397*6</f>
        <v>156</v>
      </c>
      <c r="M397">
        <v>2363</v>
      </c>
      <c r="P397">
        <f>K397-L397+M397-N397-O397</f>
        <v>31931.68</v>
      </c>
      <c r="R397">
        <f>G397/F397</f>
        <v>62.69230769230769</v>
      </c>
    </row>
    <row r="398">
      <c r="A398">
        <v>388</v>
      </c>
      <c r="B398" t="str">
        <v>27*12*2025</v>
      </c>
      <c r="C398" t="str">
        <v>RAMKRISHANA</v>
      </c>
      <c r="D398" t="str">
        <v>HOLESIRIGERE</v>
      </c>
      <c r="E398">
        <v>7411240974</v>
      </c>
      <c r="F398">
        <v>84</v>
      </c>
      <c r="G398">
        <v>5230</v>
      </c>
      <c r="H398">
        <f>G398*3/100</f>
        <v>156.9</v>
      </c>
      <c r="I398">
        <f>G398-H398</f>
        <v>5073.1</v>
      </c>
      <c r="J398">
        <v>19</v>
      </c>
      <c r="K398">
        <f>I398*J398</f>
        <v>96388.90000000001</v>
      </c>
      <c r="L398">
        <f>F398*6</f>
        <v>504</v>
      </c>
      <c r="P398">
        <f>K398-L398+M398-N398-O398</f>
        <v>95884.90000000001</v>
      </c>
      <c r="R398">
        <f>G398/F398</f>
        <v>62.26190476190476</v>
      </c>
    </row>
    <row r="399">
      <c r="A399">
        <v>389</v>
      </c>
      <c r="B399" t="str">
        <v>27*12*2025</v>
      </c>
      <c r="C399" t="str">
        <v>MANJAPPA</v>
      </c>
      <c r="D399" t="str">
        <v>KAMALAPURA</v>
      </c>
      <c r="E399">
        <v>9986264496</v>
      </c>
      <c r="F399">
        <v>16</v>
      </c>
      <c r="G399">
        <v>910</v>
      </c>
      <c r="H399">
        <f>G399*3/100</f>
        <v>27.3</v>
      </c>
      <c r="I399">
        <f>G399-H399</f>
        <v>882.7</v>
      </c>
      <c r="J399">
        <v>18.2</v>
      </c>
      <c r="K399">
        <f>I399*J399</f>
        <v>16065.14</v>
      </c>
      <c r="L399">
        <f>F399*6</f>
        <v>96</v>
      </c>
      <c r="P399">
        <f>K399-L399+M399-N399-O399</f>
        <v>15969.14</v>
      </c>
      <c r="R399">
        <f>G399/F399</f>
        <v>56.875</v>
      </c>
    </row>
    <row r="400">
      <c r="A400">
        <v>390</v>
      </c>
      <c r="B400" t="str">
        <v>27*12*2025</v>
      </c>
      <c r="C400" t="str">
        <v>AVINASH</v>
      </c>
      <c r="D400" t="str">
        <v>THARHALLI</v>
      </c>
      <c r="E400">
        <v>8150006864</v>
      </c>
      <c r="F400">
        <v>29</v>
      </c>
      <c r="G400">
        <v>1660</v>
      </c>
      <c r="H400">
        <f>G400*3/100</f>
        <v>49.8</v>
      </c>
      <c r="I400">
        <f>G400-H400</f>
        <v>1610.2</v>
      </c>
      <c r="J400">
        <v>18.8</v>
      </c>
      <c r="K400">
        <f>I400*J400</f>
        <v>30271.760000000002</v>
      </c>
      <c r="L400">
        <f>F400*6</f>
        <v>174</v>
      </c>
      <c r="P400">
        <f>K400-L400+M400-N400-O400</f>
        <v>30097.760000000002</v>
      </c>
      <c r="R400">
        <f>G400/F400</f>
        <v>57.241379310344826</v>
      </c>
    </row>
    <row r="401">
      <c r="A401">
        <v>391</v>
      </c>
      <c r="B401" t="str">
        <v>27*12*2025</v>
      </c>
      <c r="C401" t="str">
        <v>NANDISH</v>
      </c>
      <c r="D401" t="str">
        <v>HONNALI</v>
      </c>
      <c r="F401">
        <v>29</v>
      </c>
      <c r="G401">
        <v>1680</v>
      </c>
      <c r="H401">
        <f>G401*3/100</f>
        <v>50.4</v>
      </c>
      <c r="I401">
        <f>G401-H401</f>
        <v>1629.6</v>
      </c>
      <c r="J401">
        <v>19</v>
      </c>
      <c r="K401">
        <f>I401*J401</f>
        <v>30962.399999999998</v>
      </c>
      <c r="L401">
        <f>F401*6</f>
        <v>174</v>
      </c>
      <c r="P401">
        <f>K401-L401+M401-N401-O401</f>
        <v>30788.399999999998</v>
      </c>
      <c r="R401">
        <f>G401/F401</f>
        <v>57.93103448275862</v>
      </c>
    </row>
    <row r="402">
      <c r="A402">
        <v>392</v>
      </c>
      <c r="B402" t="str">
        <v>27*12*2025</v>
      </c>
      <c r="C402" t="str">
        <v>NAGARAJ</v>
      </c>
      <c r="D402" t="str">
        <v>BELEMALURU</v>
      </c>
      <c r="E402">
        <v>8971360361</v>
      </c>
      <c r="F402">
        <v>58</v>
      </c>
      <c r="G402">
        <v>3320</v>
      </c>
      <c r="H402">
        <f>G402*3/100</f>
        <v>99.6</v>
      </c>
      <c r="I402">
        <f>G402-H402</f>
        <v>3220.4</v>
      </c>
      <c r="J402">
        <v>18.8</v>
      </c>
      <c r="K402">
        <f>I402*J402</f>
        <v>60543.520000000004</v>
      </c>
      <c r="L402">
        <f>F402*6</f>
        <v>348</v>
      </c>
      <c r="P402">
        <f>K402-L402+M402-N402-O402</f>
        <v>60195.520000000004</v>
      </c>
      <c r="R402">
        <f>G402/F402</f>
        <v>57.241379310344826</v>
      </c>
    </row>
    <row r="403">
      <c r="A403">
        <v>393</v>
      </c>
      <c r="B403" t="str">
        <v>27*12*2025</v>
      </c>
      <c r="C403" t="str">
        <v>JAYAMMA</v>
      </c>
      <c r="D403" t="str">
        <v>BELEMALURU</v>
      </c>
      <c r="E403">
        <v>9148396938</v>
      </c>
      <c r="F403">
        <v>30</v>
      </c>
      <c r="G403">
        <v>1750</v>
      </c>
      <c r="H403">
        <f>G403*3/100</f>
        <v>52.5</v>
      </c>
      <c r="I403">
        <f>G403-H403</f>
        <v>1697.5</v>
      </c>
      <c r="J403">
        <v>18.8</v>
      </c>
      <c r="K403">
        <f>I403*J403</f>
        <v>31913</v>
      </c>
      <c r="L403">
        <f>F403*6</f>
        <v>180</v>
      </c>
      <c r="P403">
        <f>K403-L403+M403-N403-O403</f>
        <v>31733</v>
      </c>
      <c r="R403">
        <f>G403/F403</f>
        <v>58.333333333333336</v>
      </c>
    </row>
    <row r="404">
      <c r="A404">
        <v>394</v>
      </c>
      <c r="B404" t="str">
        <v>27*12*2025</v>
      </c>
      <c r="C404" t="str">
        <v>HARISH N H</v>
      </c>
      <c r="D404" t="str">
        <v>K TANDA</v>
      </c>
      <c r="E404">
        <v>9980055240</v>
      </c>
      <c r="F404">
        <v>148</v>
      </c>
      <c r="G404">
        <v>8830</v>
      </c>
      <c r="H404">
        <f>G404*3/100</f>
        <v>264.9</v>
      </c>
      <c r="I404">
        <f>G404-H404</f>
        <v>8565.1</v>
      </c>
      <c r="J404">
        <v>19</v>
      </c>
      <c r="K404">
        <f>I404*J404</f>
        <v>162736.9</v>
      </c>
      <c r="L404">
        <f>F404*6</f>
        <v>888</v>
      </c>
      <c r="P404">
        <f>K404-L404+M404-N404-O404</f>
        <v>161848.9</v>
      </c>
      <c r="R404">
        <f>G404/F404</f>
        <v>59.66216216216216</v>
      </c>
    </row>
    <row r="405">
      <c r="A405">
        <v>395</v>
      </c>
      <c r="B405" t="str">
        <v>28*12*2025</v>
      </c>
      <c r="C405" t="str">
        <v>ANILA</v>
      </c>
      <c r="D405" t="str">
        <v>GOLARAHALLI</v>
      </c>
      <c r="E405">
        <v>9008209401</v>
      </c>
      <c r="F405">
        <v>76</v>
      </c>
      <c r="G405">
        <v>4350</v>
      </c>
      <c r="H405">
        <f>G405*3/100</f>
        <v>130.5</v>
      </c>
      <c r="I405">
        <f>G405-H405</f>
        <v>4219.5</v>
      </c>
      <c r="J405">
        <v>19</v>
      </c>
      <c r="K405">
        <f>I405*J405</f>
        <v>80170.5</v>
      </c>
      <c r="L405">
        <f>F405*6</f>
        <v>456</v>
      </c>
      <c r="P405">
        <f>K405-L405+M405-N405-O405</f>
        <v>79714.5</v>
      </c>
      <c r="R405">
        <f>G405/F405</f>
        <v>57.23684210526316</v>
      </c>
    </row>
    <row r="406">
      <c r="A406">
        <v>396</v>
      </c>
      <c r="B406" t="str">
        <v>28*12*2025</v>
      </c>
      <c r="C406" t="str">
        <v>PRABHU H</v>
      </c>
      <c r="D406" t="str">
        <v>MALAPURA</v>
      </c>
      <c r="E406">
        <v>9591047419</v>
      </c>
      <c r="F406">
        <v>47</v>
      </c>
      <c r="G406">
        <v>2670</v>
      </c>
      <c r="H406">
        <f>G406*3/100</f>
        <v>80.1</v>
      </c>
      <c r="I406">
        <f>G406-H406</f>
        <v>2589.9</v>
      </c>
      <c r="J406">
        <v>18.7</v>
      </c>
      <c r="K406">
        <f>I406*J406</f>
        <v>48431.13</v>
      </c>
      <c r="L406">
        <f>F406*6</f>
        <v>282</v>
      </c>
      <c r="P406">
        <f>K406-L406+M406-N406-O406</f>
        <v>48149.13</v>
      </c>
      <c r="R406">
        <f>G406/F406</f>
        <v>56.808510638297875</v>
      </c>
    </row>
    <row r="407">
      <c r="A407">
        <v>397</v>
      </c>
      <c r="B407" t="str">
        <v>28*12*2025</v>
      </c>
      <c r="C407" t="str">
        <v>YASODARAPPA</v>
      </c>
      <c r="D407" t="str">
        <v>MALAPURA</v>
      </c>
      <c r="E407">
        <v>9900775847</v>
      </c>
      <c r="F407">
        <v>136</v>
      </c>
      <c r="G407">
        <v>8010</v>
      </c>
      <c r="H407">
        <f>G407*3/100</f>
        <v>240.3</v>
      </c>
      <c r="I407">
        <f>G407-H407</f>
        <v>7769.7</v>
      </c>
      <c r="J407">
        <v>18.7</v>
      </c>
      <c r="K407">
        <f>I407*J407</f>
        <v>145293.38999999998</v>
      </c>
      <c r="L407">
        <f>F407*6</f>
        <v>816</v>
      </c>
      <c r="P407">
        <f>K407-L407+M407-N407-O407</f>
        <v>144477.38999999998</v>
      </c>
      <c r="R407">
        <f>G407/F407</f>
        <v>58.89705882352941</v>
      </c>
    </row>
    <row r="408">
      <c r="A408">
        <v>398</v>
      </c>
      <c r="B408" t="str">
        <v>28*12*2025</v>
      </c>
      <c r="C408" t="str">
        <v>NELAKANTAPPA</v>
      </c>
      <c r="D408" t="str">
        <v>MALAPURA</v>
      </c>
      <c r="E408">
        <v>9535163249</v>
      </c>
      <c r="F408">
        <v>10</v>
      </c>
      <c r="G408">
        <v>580</v>
      </c>
      <c r="H408">
        <f>G408*3/100</f>
        <v>17.4</v>
      </c>
      <c r="I408">
        <f>G408-H408</f>
        <v>562.6</v>
      </c>
      <c r="J408">
        <v>18.7</v>
      </c>
      <c r="K408">
        <f>I408*J408</f>
        <v>10520.62</v>
      </c>
      <c r="L408">
        <f>F408*6</f>
        <v>60</v>
      </c>
      <c r="P408">
        <f>K408-L408+M408-N408-O408</f>
        <v>10460.62</v>
      </c>
      <c r="R408">
        <f>G408/F408</f>
        <v>58</v>
      </c>
    </row>
    <row r="409">
      <c r="A409">
        <v>399</v>
      </c>
      <c r="B409" t="str">
        <v>29*12*2025</v>
      </c>
      <c r="C409" t="str">
        <v>RAVI GOUDA</v>
      </c>
      <c r="D409" t="str">
        <v>BELEMALURU</v>
      </c>
      <c r="E409">
        <v>8747908744</v>
      </c>
      <c r="F409">
        <v>10</v>
      </c>
      <c r="G409">
        <v>601</v>
      </c>
      <c r="H409">
        <f>G409*3/100</f>
        <v>18.03</v>
      </c>
      <c r="I409">
        <f>G409-H409</f>
        <v>582.97</v>
      </c>
      <c r="J409">
        <v>18.5</v>
      </c>
      <c r="K409">
        <f>I409*J409</f>
        <v>10784.945</v>
      </c>
      <c r="L409">
        <f>F409*6</f>
        <v>60</v>
      </c>
      <c r="P409">
        <f>K409-L409+M409-N409-O409</f>
        <v>10724.945</v>
      </c>
      <c r="R409">
        <f>G409/F409</f>
        <v>60.1</v>
      </c>
    </row>
    <row r="410">
      <c r="A410">
        <v>400</v>
      </c>
      <c r="B410" t="str">
        <v>29*12*2025</v>
      </c>
      <c r="C410" t="str">
        <v>NARASIMAPPA</v>
      </c>
      <c r="D410" t="str">
        <v>GOLARAHALLI</v>
      </c>
      <c r="E410">
        <v>7892497427</v>
      </c>
      <c r="F410">
        <v>36</v>
      </c>
      <c r="G410">
        <v>2080</v>
      </c>
      <c r="H410">
        <f>G410*3/100</f>
        <v>62.4</v>
      </c>
      <c r="I410">
        <f>G410-H410</f>
        <v>2017.6</v>
      </c>
      <c r="J410">
        <v>18.7</v>
      </c>
      <c r="K410">
        <f>I410*J410</f>
        <v>37729.119999999995</v>
      </c>
      <c r="L410">
        <f>F410*6</f>
        <v>216</v>
      </c>
      <c r="P410">
        <f>K410-L410+M410-N410-O410</f>
        <v>37513.119999999995</v>
      </c>
      <c r="R410">
        <f>G410/F410</f>
        <v>57.77777777777778</v>
      </c>
    </row>
    <row r="411">
      <c r="A411">
        <v>401</v>
      </c>
      <c r="B411" t="str">
        <v>30*12*2025</v>
      </c>
      <c r="C411" t="str">
        <v>MALIKA</v>
      </c>
      <c r="D411" t="str">
        <v>SIGATAGERE</v>
      </c>
      <c r="E411">
        <v>6361679473</v>
      </c>
      <c r="F411">
        <v>109</v>
      </c>
      <c r="G411">
        <v>6440</v>
      </c>
      <c r="H411">
        <f>G411*3/100</f>
        <v>193.2</v>
      </c>
      <c r="I411">
        <f>G411-H411</f>
        <v>6246.8</v>
      </c>
      <c r="J411">
        <v>18.5</v>
      </c>
      <c r="K411">
        <f>I411*J411</f>
        <v>115565.8</v>
      </c>
      <c r="L411">
        <f>F411*6</f>
        <v>654</v>
      </c>
      <c r="P411">
        <f>K411-L411+M411-N411-O411</f>
        <v>114911.8</v>
      </c>
      <c r="R411">
        <f>G411/F411</f>
        <v>59.08256880733945</v>
      </c>
    </row>
    <row r="412">
      <c r="A412">
        <v>402</v>
      </c>
      <c r="B412" t="str">
        <v>30*12*2025</v>
      </c>
      <c r="C412" t="str">
        <v>SURUSH</v>
      </c>
      <c r="D412" t="str">
        <v>BELEMALURU</v>
      </c>
      <c r="E412">
        <v>7892956665</v>
      </c>
      <c r="F412">
        <v>30</v>
      </c>
      <c r="G412">
        <v>1740</v>
      </c>
      <c r="H412">
        <f>G412*3/100</f>
        <v>52.2</v>
      </c>
      <c r="I412">
        <f>G412-H412</f>
        <v>1687.8</v>
      </c>
      <c r="J412">
        <v>18.5</v>
      </c>
      <c r="K412">
        <f>I412*J412</f>
        <v>31224.3</v>
      </c>
      <c r="L412">
        <f>F412*6</f>
        <v>180</v>
      </c>
      <c r="P412">
        <f>K412-L412+M412-N412-O412</f>
        <v>31044.3</v>
      </c>
      <c r="R412">
        <f>G412/F412</f>
        <v>58</v>
      </c>
    </row>
    <row r="413">
      <c r="A413">
        <v>403</v>
      </c>
      <c r="B413" t="str">
        <v>30*12*2025</v>
      </c>
      <c r="C413" t="str">
        <v>RUDRESH</v>
      </c>
      <c r="D413" t="str">
        <v>TANDA</v>
      </c>
      <c r="E413">
        <v>9482097056</v>
      </c>
      <c r="F413">
        <v>10</v>
      </c>
      <c r="G413">
        <v>482</v>
      </c>
      <c r="H413">
        <f>G413*3/100</f>
        <v>14.46</v>
      </c>
      <c r="I413">
        <f>G413-H413</f>
        <v>467.54</v>
      </c>
      <c r="J413">
        <v>18.3</v>
      </c>
      <c r="K413">
        <f>I413*J413</f>
        <v>8555.982</v>
      </c>
      <c r="L413">
        <f>F413*6</f>
        <v>60</v>
      </c>
      <c r="P413">
        <f>K413-L413+M413-N413-O413</f>
        <v>8495.982</v>
      </c>
      <c r="R413">
        <f>G413/F413</f>
        <v>48.2</v>
      </c>
    </row>
    <row r="414">
      <c r="A414">
        <v>404</v>
      </c>
      <c r="B414" t="str">
        <v>30*12*2025</v>
      </c>
      <c r="C414" t="str">
        <v>VEERESH</v>
      </c>
      <c r="D414" t="str">
        <v>TANDA</v>
      </c>
      <c r="F414">
        <v>26</v>
      </c>
      <c r="G414">
        <v>1520</v>
      </c>
      <c r="H414">
        <f>G414*3/100</f>
        <v>45.6</v>
      </c>
      <c r="I414">
        <f>G414-H414</f>
        <v>1474.4</v>
      </c>
      <c r="J414">
        <v>18.4</v>
      </c>
      <c r="K414">
        <f>I414*J414</f>
        <v>27128.96</v>
      </c>
      <c r="L414">
        <f>F414*6</f>
        <v>156</v>
      </c>
      <c r="P414">
        <f>K414-L414+M414-N414-O414</f>
        <v>26972.96</v>
      </c>
      <c r="R414">
        <f>G414/F414</f>
        <v>58.46153846153846</v>
      </c>
    </row>
    <row r="415">
      <c r="R415" t="e">
        <f>G415/F415</f>
        <v>#DIV/0!</v>
      </c>
    </row>
    <row r="416">
      <c r="R416" t="e">
        <f>G416/F416</f>
        <v>#DIV/0!</v>
      </c>
    </row>
    <row r="417">
      <c r="A417">
        <v>405</v>
      </c>
      <c r="B417" t="str">
        <v>1*1*2026</v>
      </c>
      <c r="C417" t="str">
        <v>RAMESH</v>
      </c>
      <c r="D417" t="str">
        <v>BELEMALURU</v>
      </c>
      <c r="E417">
        <v>9743115096</v>
      </c>
      <c r="F417">
        <v>47</v>
      </c>
      <c r="G417">
        <v>2750</v>
      </c>
      <c r="H417">
        <f>G417*3/100</f>
        <v>82.5</v>
      </c>
      <c r="I417">
        <f>G417-H417</f>
        <v>2667.5</v>
      </c>
      <c r="J417">
        <v>18.2</v>
      </c>
      <c r="K417">
        <f>I417*J417</f>
        <v>48548.5</v>
      </c>
      <c r="L417">
        <f>F417*6</f>
        <v>282</v>
      </c>
      <c r="P417">
        <f>K417-L417+M417-N417-O417</f>
        <v>48266.5</v>
      </c>
      <c r="R417">
        <f>G417/F417</f>
        <v>58.51063829787234</v>
      </c>
    </row>
    <row r="418">
      <c r="A418">
        <v>406</v>
      </c>
      <c r="B418" t="str">
        <v>04*01*2026</v>
      </c>
      <c r="C418" t="str">
        <v>NAGARAJ</v>
      </c>
      <c r="D418" t="str">
        <v>BELEMALUR</v>
      </c>
      <c r="E418">
        <v>6364083365</v>
      </c>
      <c r="F418">
        <v>71</v>
      </c>
      <c r="G418">
        <v>4270</v>
      </c>
      <c r="H418">
        <f>G418*3/100</f>
        <v>128.1</v>
      </c>
      <c r="I418">
        <f>G418-H418</f>
        <v>4141.9</v>
      </c>
      <c r="J418">
        <v>18.2</v>
      </c>
      <c r="K418">
        <f>I418*J418</f>
        <v>75382.57999999999</v>
      </c>
      <c r="L418">
        <f>F418*6</f>
        <v>426</v>
      </c>
      <c r="P418">
        <f>K418-L418+M418-N418-O418</f>
        <v>74956.57999999999</v>
      </c>
      <c r="R418">
        <f>G418/F418</f>
        <v>60.140845070422536</v>
      </c>
    </row>
    <row r="419">
      <c r="A419">
        <v>407</v>
      </c>
      <c r="B419" t="str">
        <v>05*01*2025</v>
      </c>
      <c r="C419" t="str">
        <v>MANJAPPA</v>
      </c>
      <c r="D419" t="str">
        <v>DEVARHONNALI</v>
      </c>
      <c r="E419">
        <v>7676294147</v>
      </c>
      <c r="F419">
        <v>42</v>
      </c>
      <c r="G419">
        <v>2540</v>
      </c>
      <c r="H419">
        <f>G419*3/100</f>
        <v>76.2</v>
      </c>
      <c r="I419">
        <f>G419-H419</f>
        <v>2463.8</v>
      </c>
      <c r="J419">
        <v>18</v>
      </c>
      <c r="K419">
        <f>I419*J419</f>
        <v>44348.4</v>
      </c>
      <c r="L419">
        <f>F419*6</f>
        <v>252</v>
      </c>
      <c r="P419">
        <f>K419-L419+M419-N419-O419</f>
        <v>44096.4</v>
      </c>
      <c r="R419">
        <f>G419/F419</f>
        <v>60.476190476190474</v>
      </c>
    </row>
    <row r="420">
      <c r="A420">
        <v>408</v>
      </c>
      <c r="B420" t="str">
        <v>05*01*2025</v>
      </c>
      <c r="C420" t="str">
        <v>NARASIMAPPA</v>
      </c>
      <c r="D420" t="str">
        <v>BELEMALUR</v>
      </c>
      <c r="E420">
        <v>7975999321</v>
      </c>
      <c r="F420">
        <v>42</v>
      </c>
      <c r="G420">
        <v>2510</v>
      </c>
      <c r="H420">
        <f>G420*3/100</f>
        <v>75.3</v>
      </c>
      <c r="I420">
        <f>G420-H420</f>
        <v>2434.7</v>
      </c>
      <c r="J420">
        <v>18.5</v>
      </c>
      <c r="K420">
        <f>I420*J420</f>
        <v>45041.95</v>
      </c>
      <c r="L420">
        <f>F420*6</f>
        <v>252</v>
      </c>
      <c r="P420">
        <f>K420-L420+M420-N420-O420</f>
        <v>44789.95</v>
      </c>
      <c r="R420">
        <f>G420/F420</f>
        <v>59.76190476190476</v>
      </c>
    </row>
    <row r="421">
      <c r="A421">
        <v>409</v>
      </c>
      <c r="B421" t="str">
        <v>05*01*2025</v>
      </c>
      <c r="C421" t="str">
        <v>MAHENDRA</v>
      </c>
      <c r="D421" t="str">
        <v>BELEMALUR</v>
      </c>
      <c r="E421">
        <v>9880955324</v>
      </c>
      <c r="F421">
        <v>39</v>
      </c>
      <c r="G421">
        <v>2200</v>
      </c>
      <c r="H421">
        <f>G421*3/100</f>
        <v>66</v>
      </c>
      <c r="I421">
        <f>G421-H421</f>
        <v>2134</v>
      </c>
      <c r="J421">
        <v>18.5</v>
      </c>
      <c r="K421">
        <f>I421*J421</f>
        <v>39479</v>
      </c>
      <c r="L421">
        <f>F421*6</f>
        <v>234</v>
      </c>
      <c r="P421">
        <f>K421-L421+M421-N421-O421</f>
        <v>39245</v>
      </c>
      <c r="R421">
        <f>G421/F421</f>
        <v>56.41025641025641</v>
      </c>
    </row>
    <row r="422">
      <c r="A422">
        <v>410</v>
      </c>
      <c r="B422" t="str">
        <v>05*01*2025</v>
      </c>
      <c r="C422" t="str">
        <v>GADIYAPPA</v>
      </c>
      <c r="D422" t="str">
        <v>BELEMALUR</v>
      </c>
      <c r="E422">
        <v>8431959861</v>
      </c>
      <c r="F422">
        <v>19</v>
      </c>
      <c r="G422">
        <v>1850</v>
      </c>
      <c r="H422">
        <f>G422*3/100</f>
        <v>55.5</v>
      </c>
      <c r="I422">
        <f>G422-H422</f>
        <v>1794.5</v>
      </c>
      <c r="J422">
        <v>18.5</v>
      </c>
      <c r="K422">
        <f>I422*J422</f>
        <v>33198.25</v>
      </c>
      <c r="L422">
        <f>F422*6</f>
        <v>114</v>
      </c>
      <c r="P422">
        <f>K422-L422+M422-N422-O422</f>
        <v>33084.25</v>
      </c>
      <c r="R422">
        <f>G422/F422</f>
        <v>97.36842105263158</v>
      </c>
    </row>
    <row r="423">
      <c r="A423">
        <v>411</v>
      </c>
      <c r="B423" t="str">
        <v>05*01*2025</v>
      </c>
      <c r="C423" t="str">
        <v>THIPSEHAPPA</v>
      </c>
      <c r="D423" t="str">
        <v>HOLEHARAHALLI</v>
      </c>
      <c r="E423">
        <v>8197259410</v>
      </c>
      <c r="F423">
        <v>48</v>
      </c>
      <c r="G423">
        <v>2860</v>
      </c>
      <c r="H423">
        <f>G423*3/100</f>
        <v>85.8</v>
      </c>
      <c r="I423">
        <f>G423-H423</f>
        <v>2774.2</v>
      </c>
      <c r="J423">
        <v>18.4</v>
      </c>
      <c r="K423">
        <f>I423*J423</f>
        <v>51045.27999999999</v>
      </c>
      <c r="L423">
        <f>F423*6</f>
        <v>288</v>
      </c>
      <c r="P423">
        <f>K423-L423+M423-N423-O423</f>
        <v>50757.27999999999</v>
      </c>
      <c r="R423">
        <f>G423/F423</f>
        <v>59.583333333333336</v>
      </c>
    </row>
    <row r="424">
      <c r="A424">
        <v>412</v>
      </c>
      <c r="B424" t="str">
        <v>05*01*2026</v>
      </c>
      <c r="C424" t="str">
        <v>RAHAPPA</v>
      </c>
      <c r="D424" t="str">
        <v>HOLEHARAHALLI</v>
      </c>
      <c r="E424">
        <v>8197570948</v>
      </c>
      <c r="F424">
        <v>34</v>
      </c>
      <c r="G424">
        <v>1950</v>
      </c>
      <c r="H424">
        <f>G424*3/100</f>
        <v>58.5</v>
      </c>
      <c r="I424">
        <f>G424-H424</f>
        <v>1891.5</v>
      </c>
      <c r="J424">
        <v>18.2</v>
      </c>
      <c r="K424">
        <f>I424*J424</f>
        <v>34425.299999999996</v>
      </c>
      <c r="L424">
        <f>F424*6</f>
        <v>204</v>
      </c>
      <c r="P424">
        <f>K424-L424+M424-N424-O424</f>
        <v>34221.299999999996</v>
      </c>
      <c r="R424">
        <f>G424/F424</f>
        <v>57.35294117647059</v>
      </c>
    </row>
    <row r="425">
      <c r="A425">
        <v>413</v>
      </c>
      <c r="B425" t="str">
        <v>05*01*2026</v>
      </c>
      <c r="C425" t="str">
        <v>BASAPPA</v>
      </c>
      <c r="D425" t="str">
        <v>BELEMALUR</v>
      </c>
      <c r="E425">
        <v>7353299133</v>
      </c>
      <c r="F425">
        <v>33</v>
      </c>
      <c r="G425">
        <v>1980</v>
      </c>
      <c r="H425">
        <f>G425*3/100</f>
        <v>59.4</v>
      </c>
      <c r="I425">
        <v>1921</v>
      </c>
      <c r="J425">
        <v>18.35</v>
      </c>
      <c r="K425">
        <f>I425*J425</f>
        <v>35250.350000000006</v>
      </c>
      <c r="L425">
        <v>198</v>
      </c>
      <c r="N425">
        <v>25</v>
      </c>
      <c r="P425">
        <f>K425-L425+M425-N425-O425</f>
        <v>35027.350000000006</v>
      </c>
      <c r="R425">
        <f>G425/F425</f>
        <v>60</v>
      </c>
    </row>
    <row r="426">
      <c r="A426">
        <v>414</v>
      </c>
      <c r="B426" t="str">
        <v>05*01*2026</v>
      </c>
      <c r="C426" t="str">
        <v>ANJINAYA</v>
      </c>
      <c r="D426" t="str">
        <v>HOLEHARAHALLI</v>
      </c>
      <c r="E426">
        <v>8951810585</v>
      </c>
      <c r="F426">
        <v>20</v>
      </c>
      <c r="G426">
        <v>1150</v>
      </c>
      <c r="H426">
        <f>G426*3/100</f>
        <v>34.5</v>
      </c>
      <c r="I426">
        <f>G426-H426</f>
        <v>1115.5</v>
      </c>
      <c r="J426">
        <v>18.3</v>
      </c>
      <c r="K426">
        <f>I426*J426</f>
        <v>20413.65</v>
      </c>
      <c r="L426">
        <f>F426*6</f>
        <v>120</v>
      </c>
      <c r="P426">
        <f>K426-L426+M426-N426-O426</f>
        <v>20293.65</v>
      </c>
      <c r="R426">
        <f>G426/F426</f>
        <v>57.5</v>
      </c>
    </row>
    <row r="427">
      <c r="A427">
        <v>415</v>
      </c>
      <c r="B427" t="str">
        <v>08*01*2026</v>
      </c>
      <c r="C427" t="str">
        <v>MANJAPPA</v>
      </c>
      <c r="D427" t="str">
        <v>BELEMALUR</v>
      </c>
      <c r="E427">
        <v>9886366621</v>
      </c>
      <c r="F427">
        <v>31</v>
      </c>
      <c r="G427">
        <v>1810</v>
      </c>
      <c r="H427">
        <f>G427*3/100</f>
        <v>54.3</v>
      </c>
      <c r="I427">
        <f>G427-H427</f>
        <v>1755.7</v>
      </c>
      <c r="J427">
        <v>18.5</v>
      </c>
      <c r="K427">
        <f>I427*J427</f>
        <v>32480.45</v>
      </c>
      <c r="L427">
        <f>F427*6</f>
        <v>186</v>
      </c>
      <c r="P427">
        <f>K427-L427+M427-N427-O427</f>
        <v>32294.45</v>
      </c>
      <c r="R427">
        <f>G427/F427</f>
        <v>58.38709677419355</v>
      </c>
    </row>
    <row r="428">
      <c r="A428">
        <v>416</v>
      </c>
      <c r="B428" t="str">
        <v>08*01*2026</v>
      </c>
      <c r="C428" t="str">
        <v>NAGARAJ</v>
      </c>
      <c r="D428" t="str">
        <v>BELEMALUR</v>
      </c>
      <c r="E428">
        <v>8491146152</v>
      </c>
      <c r="F428">
        <v>56</v>
      </c>
      <c r="G428">
        <v>3320</v>
      </c>
      <c r="H428">
        <f>G428*3/100</f>
        <v>99.6</v>
      </c>
      <c r="I428">
        <f>G428-H428</f>
        <v>3220.4</v>
      </c>
      <c r="J428">
        <v>18.5</v>
      </c>
      <c r="K428">
        <f>I428*J428</f>
        <v>59577.4</v>
      </c>
      <c r="L428">
        <f>F428*6</f>
        <v>336</v>
      </c>
      <c r="P428">
        <f>K428-L428+M428-N428-O428</f>
        <v>59241.4</v>
      </c>
      <c r="R428">
        <f>G428/F428</f>
        <v>59.285714285714285</v>
      </c>
    </row>
    <row r="429">
      <c r="A429">
        <v>417</v>
      </c>
      <c r="B429" t="str">
        <v>09*01*2026</v>
      </c>
      <c r="C429" t="str">
        <v>BERAPPA</v>
      </c>
      <c r="D429" t="str">
        <v>BELEMALUR</v>
      </c>
      <c r="E429">
        <v>9480920107</v>
      </c>
      <c r="F429">
        <v>83</v>
      </c>
      <c r="G429">
        <v>4890</v>
      </c>
      <c r="H429">
        <f>G429*3/100</f>
        <v>146.7</v>
      </c>
      <c r="I429">
        <f>G429-H429</f>
        <v>4743.3</v>
      </c>
      <c r="J429">
        <v>18.5</v>
      </c>
      <c r="K429">
        <f>I429*J429</f>
        <v>87751.05</v>
      </c>
      <c r="L429">
        <f>F429*6</f>
        <v>498</v>
      </c>
      <c r="P429">
        <f>K429-L429+M429-N429-O429</f>
        <v>87253.05</v>
      </c>
      <c r="R429">
        <f>G429/F429</f>
        <v>58.91566265060241</v>
      </c>
    </row>
    <row r="430">
      <c r="A430">
        <v>418</v>
      </c>
      <c r="B430" t="str">
        <v>10*01*2026</v>
      </c>
      <c r="C430" t="str">
        <v>PRADEEP</v>
      </c>
      <c r="D430" t="str">
        <v>MADEHALLI</v>
      </c>
      <c r="E430">
        <v>8970656647</v>
      </c>
      <c r="F430">
        <v>13</v>
      </c>
      <c r="G430">
        <v>780</v>
      </c>
      <c r="H430">
        <f>G430*3/100</f>
        <v>23.4</v>
      </c>
      <c r="I430">
        <f>G430-H430</f>
        <v>756.6</v>
      </c>
      <c r="J430">
        <v>17.5</v>
      </c>
      <c r="K430">
        <f>I430*J430</f>
        <v>13240.5</v>
      </c>
      <c r="L430">
        <f>F430*6</f>
        <v>78</v>
      </c>
      <c r="P430">
        <f>K430-L430+M430-N430-O430</f>
        <v>13162.5</v>
      </c>
      <c r="R430">
        <f>G430/F430</f>
        <v>60</v>
      </c>
    </row>
    <row r="431">
      <c r="A431">
        <v>419</v>
      </c>
      <c r="B431" t="str">
        <v>10*01*2026</v>
      </c>
      <c r="C431" t="str">
        <v>MOHAN</v>
      </c>
      <c r="D431" t="str">
        <v>BALESHWARA</v>
      </c>
      <c r="E431">
        <v>9164348870</v>
      </c>
      <c r="F431">
        <v>9</v>
      </c>
      <c r="G431">
        <v>577</v>
      </c>
      <c r="H431">
        <f>G431*3/100</f>
        <v>17.31</v>
      </c>
      <c r="I431">
        <f>G431-H431</f>
        <v>559.69</v>
      </c>
      <c r="J431">
        <v>18.3</v>
      </c>
      <c r="K431">
        <f>I431*J431</f>
        <v>10242.327000000001</v>
      </c>
      <c r="L431">
        <f>F431*6</f>
        <v>54</v>
      </c>
      <c r="P431">
        <f>K431-L431+M431-N431-O431</f>
        <v>10188.327000000001</v>
      </c>
      <c r="R431">
        <f>G431/F431</f>
        <v>64.11111111111111</v>
      </c>
    </row>
    <row r="432">
      <c r="A432">
        <v>420</v>
      </c>
      <c r="B432" t="str">
        <v>10*01*2026</v>
      </c>
      <c r="C432" t="str">
        <v>SACHI</v>
      </c>
      <c r="D432" t="str">
        <v>ARKERE</v>
      </c>
      <c r="E432">
        <v>9620101180</v>
      </c>
      <c r="F432">
        <v>187</v>
      </c>
      <c r="G432">
        <v>10850</v>
      </c>
      <c r="H432">
        <f>G432*3/100</f>
        <v>325.5</v>
      </c>
      <c r="I432">
        <f>G432-H432</f>
        <v>10524.5</v>
      </c>
      <c r="J432">
        <v>18.3</v>
      </c>
      <c r="K432">
        <f>I432*J432</f>
        <v>192598.35</v>
      </c>
      <c r="L432">
        <f>F432*6</f>
        <v>1122</v>
      </c>
      <c r="P432">
        <f>K432-L432+M432-N432-O432</f>
        <v>191476.35</v>
      </c>
      <c r="R432">
        <f>G432/F432</f>
        <v>58.02139037433155</v>
      </c>
    </row>
    <row r="433">
      <c r="A433">
        <v>421</v>
      </c>
      <c r="B433" t="str">
        <v>11*01*2026</v>
      </c>
      <c r="C433" t="str">
        <v>PRASHANTH</v>
      </c>
      <c r="D433" t="str">
        <v>BELEMALUR</v>
      </c>
      <c r="E433">
        <v>9900827299</v>
      </c>
      <c r="F433">
        <v>82</v>
      </c>
      <c r="G433">
        <v>4900</v>
      </c>
      <c r="H433">
        <f>G433*3/100</f>
        <v>147</v>
      </c>
      <c r="I433">
        <f>G433-H433</f>
        <v>4753</v>
      </c>
      <c r="J433">
        <v>18.65</v>
      </c>
      <c r="K433">
        <f>I433*J433</f>
        <v>88643.45</v>
      </c>
      <c r="L433">
        <f>F433*6</f>
        <v>492</v>
      </c>
      <c r="P433">
        <f>K433-L433+M433-N433-O433</f>
        <v>88151.45</v>
      </c>
      <c r="R433">
        <f>G433/F433</f>
        <v>59.75609756097561</v>
      </c>
    </row>
    <row r="434">
      <c r="A434">
        <v>422</v>
      </c>
      <c r="B434" t="str">
        <v>11*01*2026</v>
      </c>
      <c r="C434" t="str">
        <v>PAMU</v>
      </c>
      <c r="D434" t="str">
        <v>HONNALI</v>
      </c>
      <c r="E434">
        <v>9741722678</v>
      </c>
      <c r="F434">
        <v>139</v>
      </c>
      <c r="G434">
        <v>8100</v>
      </c>
      <c r="H434">
        <f>G434*3/100</f>
        <v>243</v>
      </c>
      <c r="I434">
        <f>G434-H434</f>
        <v>7857</v>
      </c>
      <c r="J434">
        <v>18.5</v>
      </c>
      <c r="K434">
        <f>I434*J434</f>
        <v>145354.5</v>
      </c>
      <c r="L434">
        <f>F434*6</f>
        <v>834</v>
      </c>
      <c r="P434">
        <f>K434-L434+M434-N434-O434</f>
        <v>144520.5</v>
      </c>
      <c r="R434">
        <f>G434/F434</f>
        <v>58.273381294964025</v>
      </c>
    </row>
    <row r="435">
      <c r="A435">
        <v>423</v>
      </c>
      <c r="B435" t="str">
        <v>12*01*2026</v>
      </c>
      <c r="C435" t="str">
        <v>SIDAPPA</v>
      </c>
      <c r="D435" t="str">
        <v>BELEMALUR</v>
      </c>
      <c r="E435">
        <v>9449583231</v>
      </c>
      <c r="F435">
        <v>234</v>
      </c>
      <c r="G435">
        <v>13980</v>
      </c>
      <c r="H435">
        <f>G435*3/100</f>
        <v>419.4</v>
      </c>
      <c r="I435">
        <f>G435-H435</f>
        <v>13560.6</v>
      </c>
      <c r="J435">
        <v>18.7</v>
      </c>
      <c r="K435">
        <f>I435*J435</f>
        <v>253583.22</v>
      </c>
      <c r="L435">
        <f>F435*6</f>
        <v>1404</v>
      </c>
      <c r="P435">
        <f>K435-L435+M435-N435-O435</f>
        <v>252179.22</v>
      </c>
      <c r="R435">
        <f>G435/F435</f>
        <v>59.743589743589745</v>
      </c>
    </row>
    <row r="436">
      <c r="A436">
        <v>424</v>
      </c>
      <c r="B436" t="str">
        <v>13*01*2026</v>
      </c>
      <c r="C436" t="str">
        <v>BASAPPA</v>
      </c>
      <c r="D436" t="str">
        <v>BELEMALUR</v>
      </c>
      <c r="F436">
        <v>16</v>
      </c>
      <c r="G436">
        <v>980</v>
      </c>
      <c r="H436">
        <f>G436*3/100</f>
        <v>29.4</v>
      </c>
      <c r="I436">
        <f>G436-H436</f>
        <v>950.6</v>
      </c>
      <c r="J436">
        <v>18.55</v>
      </c>
      <c r="K436">
        <f>I436*J436</f>
        <v>17633.63</v>
      </c>
      <c r="L436">
        <f>F436*6</f>
        <v>96</v>
      </c>
      <c r="P436">
        <f>K436-L436+M436-N436-O436</f>
        <v>17537.63</v>
      </c>
      <c r="R436">
        <f>G436/F436</f>
        <v>61.25</v>
      </c>
    </row>
    <row r="437">
      <c r="A437">
        <v>425</v>
      </c>
      <c r="B437" t="str">
        <v>13*01*2026</v>
      </c>
      <c r="C437" t="str">
        <v>KARIYAPPA</v>
      </c>
      <c r="D437" t="str">
        <v>BELEMALUR</v>
      </c>
      <c r="E437">
        <v>8762348656</v>
      </c>
      <c r="F437">
        <v>21</v>
      </c>
      <c r="G437">
        <v>1280</v>
      </c>
      <c r="H437">
        <f>G437*3/100</f>
        <v>38.4</v>
      </c>
      <c r="I437">
        <f>G437-H437</f>
        <v>1241.6</v>
      </c>
      <c r="J437">
        <v>18.55</v>
      </c>
      <c r="K437">
        <f>I437*J437</f>
        <v>23031.68</v>
      </c>
      <c r="L437">
        <f>F437*6</f>
        <v>126</v>
      </c>
      <c r="P437">
        <f>K437-L437+M437-N437-O437</f>
        <v>22905.68</v>
      </c>
      <c r="R437">
        <f>G437/F437</f>
        <v>60.95238095238095</v>
      </c>
    </row>
    <row r="438">
      <c r="A438">
        <v>426</v>
      </c>
      <c r="B438" t="str">
        <v>13*01*2026</v>
      </c>
      <c r="C438" t="str">
        <v>DILAPPA</v>
      </c>
      <c r="D438" t="str">
        <v>BELEMALUR</v>
      </c>
      <c r="E438">
        <v>9591414790</v>
      </c>
      <c r="F438">
        <v>26</v>
      </c>
      <c r="G438">
        <v>1600</v>
      </c>
      <c r="H438">
        <f>G438*3/100</f>
        <v>48</v>
      </c>
      <c r="I438">
        <f>G438-H438</f>
        <v>1552</v>
      </c>
      <c r="J438">
        <v>18.55</v>
      </c>
      <c r="K438">
        <f>I438*J438</f>
        <v>28789.600000000002</v>
      </c>
      <c r="L438">
        <f>F438*6</f>
        <v>156</v>
      </c>
      <c r="P438">
        <f>K438-L438+M438-N438-O438</f>
        <v>28633.600000000002</v>
      </c>
      <c r="R438">
        <f>G438/F438</f>
        <v>61.53846153846154</v>
      </c>
    </row>
    <row r="439">
      <c r="A439">
        <v>427</v>
      </c>
      <c r="B439" t="str">
        <v>13*01*2026</v>
      </c>
      <c r="C439" t="str">
        <v>OM KARAPPA</v>
      </c>
      <c r="D439" t="str">
        <v>BELEMALUR</v>
      </c>
      <c r="F439">
        <v>35</v>
      </c>
      <c r="G439">
        <v>1970</v>
      </c>
      <c r="H439">
        <f>G439*3/100</f>
        <v>59.1</v>
      </c>
      <c r="I439">
        <f>G439-H439</f>
        <v>1910.9</v>
      </c>
      <c r="J439">
        <v>18.55</v>
      </c>
      <c r="K439">
        <f>I439*J439</f>
        <v>35447.195</v>
      </c>
      <c r="L439">
        <f>F439*6</f>
        <v>210</v>
      </c>
      <c r="P439">
        <f>K439-L439+M439-N439-O439</f>
        <v>35237.195</v>
      </c>
      <c r="R439">
        <f>G439/F439</f>
        <v>56.285714285714285</v>
      </c>
    </row>
    <row r="440">
      <c r="A440">
        <v>428</v>
      </c>
      <c r="B440" t="str">
        <v>13*01*2026</v>
      </c>
      <c r="C440" t="str">
        <v>SOMESHEKARA</v>
      </c>
      <c r="D440" t="str">
        <v>BELEMALUR</v>
      </c>
      <c r="E440">
        <v>8792508399</v>
      </c>
      <c r="F440">
        <v>20</v>
      </c>
      <c r="G440">
        <v>1140</v>
      </c>
      <c r="H440">
        <f>G440*3/100</f>
        <v>34.2</v>
      </c>
      <c r="I440">
        <f>G440-H440</f>
        <v>1105.8</v>
      </c>
      <c r="J440">
        <v>18.55</v>
      </c>
      <c r="K440">
        <f>I440*J440</f>
        <v>20512.59</v>
      </c>
      <c r="L440">
        <f>F440*6</f>
        <v>120</v>
      </c>
      <c r="P440">
        <f>K440-L440+M440-N440-O440</f>
        <v>20392.59</v>
      </c>
      <c r="R440">
        <f>G440/F440</f>
        <v>57</v>
      </c>
    </row>
    <row r="441">
      <c r="A441">
        <v>429</v>
      </c>
      <c r="B441" t="str">
        <v>13*01*2026</v>
      </c>
      <c r="C441" t="str">
        <v>HANUMATHAPPA</v>
      </c>
      <c r="D441" t="str">
        <v>BELEMALUR</v>
      </c>
      <c r="E441">
        <v>7337609913</v>
      </c>
      <c r="F441">
        <v>45</v>
      </c>
      <c r="G441">
        <v>2700</v>
      </c>
      <c r="H441">
        <f>G441*3/100</f>
        <v>81</v>
      </c>
      <c r="I441">
        <f>G441-H441</f>
        <v>2619</v>
      </c>
      <c r="J441">
        <v>18.55</v>
      </c>
      <c r="K441">
        <f>I441*J441</f>
        <v>48582.450000000004</v>
      </c>
      <c r="L441">
        <f>F441*6</f>
        <v>270</v>
      </c>
      <c r="P441">
        <f>K441-L441+M441-N441-O441</f>
        <v>48312.450000000004</v>
      </c>
      <c r="R441">
        <f>G441/F441</f>
        <v>60</v>
      </c>
    </row>
    <row r="442">
      <c r="A442">
        <v>430</v>
      </c>
      <c r="B442" t="str">
        <v>16*01*2026</v>
      </c>
      <c r="C442" t="str">
        <v>RAJAPPA</v>
      </c>
      <c r="D442" t="str">
        <v>HOLEHARAHALLI</v>
      </c>
      <c r="E442">
        <v>9620927707</v>
      </c>
      <c r="F442">
        <v>136</v>
      </c>
      <c r="G442">
        <v>8220</v>
      </c>
      <c r="H442">
        <f>G442*3/100</f>
        <v>246.6</v>
      </c>
      <c r="I442">
        <f>G442-H442</f>
        <v>7973.4</v>
      </c>
      <c r="J442">
        <v>18.7</v>
      </c>
      <c r="K442">
        <f>I442*J442</f>
        <v>149102.58</v>
      </c>
      <c r="L442">
        <f>F442*6</f>
        <v>816</v>
      </c>
      <c r="P442">
        <f>K442-L442+M442-N442-O442</f>
        <v>148286.58</v>
      </c>
      <c r="R442">
        <f>G442/F442</f>
        <v>60.44117647058823</v>
      </c>
    </row>
    <row r="443">
      <c r="A443">
        <v>431</v>
      </c>
      <c r="B443" t="str">
        <v>16*01*2026</v>
      </c>
      <c r="C443" t="str">
        <v>BASAVARAJ</v>
      </c>
      <c r="D443" t="str">
        <v>H KADKATTE</v>
      </c>
      <c r="E443">
        <v>9845345654</v>
      </c>
      <c r="F443">
        <v>42</v>
      </c>
      <c r="G443">
        <v>2760</v>
      </c>
      <c r="H443">
        <f>G443*3/100</f>
        <v>82.8</v>
      </c>
      <c r="I443">
        <f>G443-H443</f>
        <v>2677.2</v>
      </c>
      <c r="J443">
        <v>18</v>
      </c>
      <c r="K443">
        <f>I443*J443</f>
        <v>48189.6</v>
      </c>
      <c r="L443">
        <f>F443*6</f>
        <v>252</v>
      </c>
      <c r="P443">
        <f>K443-L443+M443-N443-O443</f>
        <v>47937.6</v>
      </c>
      <c r="R443">
        <f>G443/F443</f>
        <v>65.71428571428571</v>
      </c>
    </row>
    <row r="444">
      <c r="A444">
        <v>432</v>
      </c>
      <c r="B444" t="str">
        <v>16*01*2026</v>
      </c>
      <c r="C444" t="str">
        <v>MANJU NAIK</v>
      </c>
      <c r="D444" t="str">
        <v>KOTEMALURU</v>
      </c>
      <c r="E444">
        <v>8481029653</v>
      </c>
      <c r="F444">
        <v>16</v>
      </c>
      <c r="G444">
        <v>910</v>
      </c>
      <c r="H444">
        <f>G444*3/100</f>
        <v>27.3</v>
      </c>
      <c r="I444">
        <f>G444-H444</f>
        <v>882.7</v>
      </c>
      <c r="J444">
        <v>17.8</v>
      </c>
      <c r="K444">
        <f>I444*J444</f>
        <v>15712.060000000001</v>
      </c>
      <c r="L444">
        <f>F444*6</f>
        <v>96</v>
      </c>
      <c r="P444">
        <f>K444-L444+M444-N444-O444</f>
        <v>15616.060000000001</v>
      </c>
      <c r="R444">
        <f>G444/F444</f>
        <v>56.875</v>
      </c>
    </row>
    <row r="445">
      <c r="A445">
        <v>433</v>
      </c>
      <c r="B445" t="str">
        <v>16*01*2026</v>
      </c>
      <c r="C445" t="str">
        <v>HANUMATHAPPA</v>
      </c>
      <c r="D445" t="str">
        <v>BELEMALUR</v>
      </c>
      <c r="E445">
        <v>9900859722</v>
      </c>
      <c r="F445">
        <v>84</v>
      </c>
      <c r="G445">
        <v>5000</v>
      </c>
      <c r="H445">
        <f>G445*3/100</f>
        <v>150</v>
      </c>
      <c r="I445">
        <f>G445-H445</f>
        <v>4850</v>
      </c>
      <c r="J445">
        <v>18.6</v>
      </c>
      <c r="K445">
        <f>I445*J445</f>
        <v>90210</v>
      </c>
      <c r="L445">
        <f>F445*6</f>
        <v>504</v>
      </c>
      <c r="P445">
        <f>K445-L445+M445-N445-O445</f>
        <v>89706</v>
      </c>
      <c r="R445">
        <f>G445/F445</f>
        <v>59.523809523809526</v>
      </c>
    </row>
    <row r="446">
      <c r="A446">
        <v>434</v>
      </c>
      <c r="B446" t="str">
        <v>17*01*2026</v>
      </c>
      <c r="C446" t="str">
        <v>HULIGESH</v>
      </c>
      <c r="D446" t="str">
        <v>HOLEHARAHALLI</v>
      </c>
      <c r="E446">
        <v>7204504769</v>
      </c>
      <c r="F446">
        <v>24</v>
      </c>
      <c r="G446">
        <v>1390</v>
      </c>
      <c r="H446">
        <f>G446*3/100</f>
        <v>41.7</v>
      </c>
      <c r="I446">
        <f>G446-H446</f>
        <v>1348.3</v>
      </c>
      <c r="J446">
        <v>18.5</v>
      </c>
      <c r="K446">
        <f>I446*J446</f>
        <v>24943.55</v>
      </c>
      <c r="L446">
        <f>F446*6</f>
        <v>144</v>
      </c>
      <c r="P446">
        <f>K446-L446+M446-N446-O446</f>
        <v>24799.55</v>
      </c>
      <c r="R446">
        <f>G446/F446</f>
        <v>57.916666666666664</v>
      </c>
    </row>
    <row r="447">
      <c r="A447">
        <v>435</v>
      </c>
      <c r="B447" t="str">
        <v>17*01*2026</v>
      </c>
      <c r="C447" t="str">
        <v>SUMITHRA</v>
      </c>
      <c r="D447" t="str">
        <v>HMT</v>
      </c>
      <c r="E447">
        <v>7795158419</v>
      </c>
      <c r="F447">
        <v>43</v>
      </c>
      <c r="G447">
        <v>2490</v>
      </c>
      <c r="H447">
        <f>G447*3/100</f>
        <v>74.7</v>
      </c>
      <c r="I447">
        <f>G447-H447</f>
        <v>2415.3</v>
      </c>
      <c r="J447">
        <v>18.5</v>
      </c>
      <c r="K447">
        <f>I447*J447</f>
        <v>44683.05</v>
      </c>
      <c r="L447">
        <f>F447*6</f>
        <v>258</v>
      </c>
      <c r="P447">
        <f>K447-L447+M447-N447-O447</f>
        <v>44425.05</v>
      </c>
      <c r="R447">
        <f>G447/F447</f>
        <v>57.906976744186046</v>
      </c>
    </row>
    <row r="448">
      <c r="A448">
        <v>436</v>
      </c>
      <c r="B448" t="str">
        <v>17*01*2026</v>
      </c>
      <c r="C448" t="str">
        <v>SIDANNA</v>
      </c>
      <c r="D448" t="str">
        <v>HONNALI</v>
      </c>
      <c r="E448">
        <v>9449623484</v>
      </c>
      <c r="F448">
        <v>265</v>
      </c>
      <c r="G448">
        <v>55600</v>
      </c>
      <c r="H448">
        <f>G448*3/100</f>
        <v>1668</v>
      </c>
      <c r="I448">
        <f>G448-H448</f>
        <v>53932</v>
      </c>
      <c r="J448">
        <v>18.2</v>
      </c>
      <c r="K448">
        <f>I448*J448</f>
        <v>981562.3999999999</v>
      </c>
      <c r="L448">
        <f>F448*6</f>
        <v>1590</v>
      </c>
      <c r="P448">
        <f>K448-L448+M448-N448-O448</f>
        <v>979972.3999999999</v>
      </c>
      <c r="R448">
        <f>G448/F448</f>
        <v>209.81132075471697</v>
      </c>
    </row>
    <row r="449">
      <c r="A449">
        <v>437</v>
      </c>
      <c r="B449" t="str">
        <v>18*01*2026</v>
      </c>
      <c r="C449" t="str">
        <v>MALIKARJUN</v>
      </c>
      <c r="D449" t="str">
        <v>BALMURI</v>
      </c>
      <c r="E449">
        <v>9535181842</v>
      </c>
      <c r="F449">
        <v>90</v>
      </c>
      <c r="G449">
        <v>5300</v>
      </c>
      <c r="H449">
        <f>G449*3/100</f>
        <v>159</v>
      </c>
      <c r="I449">
        <f>G449-H449</f>
        <v>5141</v>
      </c>
      <c r="J449">
        <v>18.5</v>
      </c>
      <c r="K449">
        <f>I449*J449</f>
        <v>95108.5</v>
      </c>
      <c r="L449">
        <f>F449*6</f>
        <v>540</v>
      </c>
      <c r="P449">
        <f>K449-L449+M449-N449-O449</f>
        <v>94568.5</v>
      </c>
      <c r="R449">
        <f>G449/F449</f>
        <v>58.888888888888886</v>
      </c>
    </row>
    <row r="450">
      <c r="A450">
        <v>438</v>
      </c>
      <c r="B450" t="str">
        <v>18*01*2026</v>
      </c>
      <c r="C450" t="str">
        <v>PRASHANTH</v>
      </c>
      <c r="D450" t="str">
        <v>HANUMASAGARA</v>
      </c>
      <c r="E450">
        <v>7619651583</v>
      </c>
      <c r="F450">
        <v>30</v>
      </c>
      <c r="G450">
        <v>1750</v>
      </c>
      <c r="H450">
        <f>G450*3/100</f>
        <v>52.5</v>
      </c>
      <c r="I450">
        <f>G450-H450</f>
        <v>1697.5</v>
      </c>
      <c r="J450">
        <v>18.5</v>
      </c>
      <c r="K450">
        <f>I450*J450</f>
        <v>31403.75</v>
      </c>
      <c r="L450">
        <f>F450*6</f>
        <v>180</v>
      </c>
      <c r="P450">
        <f>K450-L450+M450-N450-O450</f>
        <v>31223.75</v>
      </c>
      <c r="R450">
        <f>G450/F450</f>
        <v>58.333333333333336</v>
      </c>
    </row>
    <row r="451">
      <c r="A451">
        <v>439</v>
      </c>
      <c r="B451" t="str">
        <v>18*01*2026</v>
      </c>
      <c r="C451" t="str">
        <v>MARIYAPPA</v>
      </c>
      <c r="D451" t="str">
        <v>HANUMASAGARA</v>
      </c>
      <c r="E451">
        <v>8971473553</v>
      </c>
      <c r="F451">
        <v>125</v>
      </c>
      <c r="G451">
        <v>7270</v>
      </c>
      <c r="H451">
        <f>G451*3/100</f>
        <v>218.1</v>
      </c>
      <c r="I451">
        <f>G451-H451</f>
        <v>7051.9</v>
      </c>
      <c r="J451">
        <v>18.5</v>
      </c>
      <c r="K451">
        <f>I451*J451</f>
        <v>130460.15</v>
      </c>
      <c r="L451">
        <f>F451*6</f>
        <v>750</v>
      </c>
      <c r="P451">
        <f>K451-L451+M451-N451-O451</f>
        <v>129710.15</v>
      </c>
      <c r="R451">
        <f>G451/F451</f>
        <v>58.16</v>
      </c>
    </row>
    <row r="452">
      <c r="A452">
        <v>440</v>
      </c>
      <c r="B452" t="str">
        <v>19*01*2026</v>
      </c>
      <c r="C452" t="str">
        <v>PAVAN</v>
      </c>
      <c r="D452" t="str">
        <v>HONNALI</v>
      </c>
      <c r="E452">
        <v>8497881134</v>
      </c>
      <c r="F452">
        <v>76</v>
      </c>
      <c r="G452">
        <v>4290</v>
      </c>
      <c r="H452">
        <f>G452*3/100</f>
        <v>128.7</v>
      </c>
      <c r="I452">
        <f>G452-H452</f>
        <v>4161.3</v>
      </c>
      <c r="J452">
        <v>18.35</v>
      </c>
      <c r="K452">
        <f>I452*J452</f>
        <v>76359.85500000001</v>
      </c>
      <c r="L452">
        <f>F452*6</f>
        <v>456</v>
      </c>
      <c r="P452">
        <f>K452-L452+M452-N452-O452</f>
        <v>75903.85500000001</v>
      </c>
      <c r="R452">
        <f>G452/F452</f>
        <v>56.44736842105263</v>
      </c>
    </row>
    <row r="453">
      <c r="A453">
        <v>441</v>
      </c>
      <c r="B453" t="str">
        <v>19*01*2026</v>
      </c>
      <c r="C453" t="str">
        <v>PRATHIK</v>
      </c>
      <c r="D453" t="str">
        <v>HONNALI</v>
      </c>
      <c r="E453">
        <v>813452628</v>
      </c>
      <c r="F453">
        <v>82</v>
      </c>
      <c r="G453">
        <v>4920</v>
      </c>
      <c r="H453">
        <f>G453*3/100</f>
        <v>147.6</v>
      </c>
      <c r="I453">
        <f>G453-H453</f>
        <v>4772.4</v>
      </c>
      <c r="J453">
        <v>19</v>
      </c>
      <c r="K453">
        <f>I453*J453</f>
        <v>90675.59999999999</v>
      </c>
      <c r="L453">
        <f>F453*6</f>
        <v>492</v>
      </c>
      <c r="P453">
        <f>K453-L453+M453-N453-O453</f>
        <v>90183.59999999999</v>
      </c>
      <c r="R453">
        <f>G453/F453</f>
        <v>60</v>
      </c>
    </row>
    <row r="454">
      <c r="A454">
        <v>442</v>
      </c>
      <c r="B454" t="str">
        <v>19*01*2026</v>
      </c>
      <c r="C454" t="str">
        <v>LOKANNA</v>
      </c>
      <c r="D454" t="str">
        <v>THANDA</v>
      </c>
      <c r="E454">
        <v>7760095403</v>
      </c>
      <c r="F454">
        <v>89</v>
      </c>
      <c r="G454">
        <v>5200</v>
      </c>
      <c r="H454">
        <f>G454*3/100</f>
        <v>156</v>
      </c>
      <c r="I454">
        <f>G454-H454</f>
        <v>5044</v>
      </c>
      <c r="J454">
        <v>18.6</v>
      </c>
      <c r="K454">
        <f>I454*J454</f>
        <v>93818.40000000001</v>
      </c>
      <c r="L454">
        <f>F454*6</f>
        <v>534</v>
      </c>
      <c r="P454">
        <f>K454-L454+M454-N454-O454</f>
        <v>93284.40000000001</v>
      </c>
      <c r="R454">
        <f>G454/F454</f>
        <v>58.42696629213483</v>
      </c>
    </row>
    <row r="455">
      <c r="A455">
        <v>443</v>
      </c>
      <c r="B455" t="str">
        <v>19*01*2026</v>
      </c>
      <c r="C455" t="str">
        <v>RAJNAIK</v>
      </c>
      <c r="D455" t="str">
        <v>THANDA</v>
      </c>
      <c r="E455">
        <v>8105094626</v>
      </c>
      <c r="F455">
        <v>160</v>
      </c>
      <c r="G455">
        <v>9400</v>
      </c>
      <c r="H455">
        <f>G455*3/100</f>
        <v>282</v>
      </c>
      <c r="I455">
        <f>G455-H455</f>
        <v>9118</v>
      </c>
      <c r="J455">
        <v>18.6</v>
      </c>
      <c r="K455">
        <f>I455*J455</f>
        <v>169594.80000000002</v>
      </c>
      <c r="L455">
        <f>F455*6</f>
        <v>960</v>
      </c>
      <c r="P455">
        <f>K455-L455+M455-N455-O455</f>
        <v>168634.80000000002</v>
      </c>
      <c r="R455">
        <f>G455/F455</f>
        <v>58.75</v>
      </c>
    </row>
    <row r="456">
      <c r="A456">
        <v>444</v>
      </c>
      <c r="B456" t="str">
        <v>17*01*2026</v>
      </c>
      <c r="C456" t="str">
        <v>PRAKASH</v>
      </c>
      <c r="D456" t="str">
        <v>HMT</v>
      </c>
      <c r="E456">
        <v>7795158419</v>
      </c>
      <c r="F456">
        <v>32</v>
      </c>
      <c r="G456">
        <v>1830</v>
      </c>
      <c r="H456">
        <f>G456*3/100</f>
        <v>54.9</v>
      </c>
      <c r="I456">
        <f>G456-H456</f>
        <v>1775.1</v>
      </c>
      <c r="J456">
        <v>18.4</v>
      </c>
      <c r="K456">
        <f>I456*J456</f>
        <v>32661.839999999997</v>
      </c>
      <c r="L456">
        <f>F456*6</f>
        <v>192</v>
      </c>
      <c r="P456">
        <f>K456-L456+M456-N456-O456</f>
        <v>32469.839999999997</v>
      </c>
      <c r="R456">
        <f>G456/F456</f>
        <v>57.1875</v>
      </c>
    </row>
    <row r="457">
      <c r="A457">
        <v>445</v>
      </c>
      <c r="B457" t="str">
        <v>20*01*2026</v>
      </c>
      <c r="C457" t="str">
        <v>RAJAPPA</v>
      </c>
      <c r="D457" t="str">
        <v>HOSURU</v>
      </c>
      <c r="E457">
        <v>9972207727</v>
      </c>
      <c r="F457">
        <v>42</v>
      </c>
      <c r="G457">
        <v>2370</v>
      </c>
      <c r="H457">
        <f>G457*3/100</f>
        <v>71.1</v>
      </c>
      <c r="I457">
        <f>G457-H457</f>
        <v>2298.9</v>
      </c>
      <c r="J457">
        <v>18.4</v>
      </c>
      <c r="K457">
        <f>I457*J457</f>
        <v>42299.76</v>
      </c>
      <c r="L457">
        <f>F457*6</f>
        <v>252</v>
      </c>
      <c r="P457">
        <f>K457-L457+M457-N457-O457</f>
        <v>42047.76</v>
      </c>
      <c r="R457">
        <f>G457/F457</f>
        <v>56.42857142857143</v>
      </c>
    </row>
    <row r="458">
      <c r="A458">
        <v>446</v>
      </c>
      <c r="B458" t="str">
        <v>20*01*2026</v>
      </c>
      <c r="C458" t="str">
        <v>RAJAPPA</v>
      </c>
      <c r="D458" t="str">
        <v>HOSURU</v>
      </c>
      <c r="E458">
        <v>9972207727</v>
      </c>
      <c r="F458">
        <v>65</v>
      </c>
      <c r="G458">
        <v>3700</v>
      </c>
      <c r="H458">
        <f>G458*3/100</f>
        <v>111</v>
      </c>
      <c r="I458">
        <f>G458-H458</f>
        <v>3589</v>
      </c>
      <c r="J458">
        <v>18.4</v>
      </c>
      <c r="K458">
        <f>I458*J458</f>
        <v>66037.59999999999</v>
      </c>
      <c r="L458">
        <f>F458*6</f>
        <v>390</v>
      </c>
      <c r="P458">
        <f>K458-L458+M458-N458-O458</f>
        <v>65647.59999999999</v>
      </c>
      <c r="R458">
        <f>G458/F458</f>
        <v>56.92307692307692</v>
      </c>
    </row>
    <row r="459">
      <c r="A459">
        <v>447</v>
      </c>
      <c r="B459" t="str">
        <v>21*01*2026</v>
      </c>
      <c r="C459" t="str">
        <v>DEVENDRAPPA</v>
      </c>
      <c r="D459" t="str">
        <v>BELEMALUR</v>
      </c>
      <c r="E459">
        <v>9844048180</v>
      </c>
      <c r="F459">
        <v>24</v>
      </c>
      <c r="G459">
        <v>1350</v>
      </c>
      <c r="H459">
        <f>G459*3/100</f>
        <v>40.5</v>
      </c>
      <c r="I459">
        <f>G459-H459</f>
        <v>1309.5</v>
      </c>
      <c r="J459">
        <v>18.5</v>
      </c>
      <c r="K459">
        <f>I459*J459</f>
        <v>24225.75</v>
      </c>
      <c r="L459">
        <f>F459*6</f>
        <v>144</v>
      </c>
      <c r="P459">
        <f>K459-L459+M459-N459-O459</f>
        <v>24081.75</v>
      </c>
      <c r="R459">
        <f>G459/F459</f>
        <v>56.25</v>
      </c>
    </row>
    <row r="460">
      <c r="A460">
        <v>448</v>
      </c>
      <c r="B460" t="str">
        <v>21*01*2026</v>
      </c>
      <c r="C460" t="str">
        <v>MAHESH</v>
      </c>
      <c r="D460" t="str">
        <v>CHEKAHALLI</v>
      </c>
      <c r="E460">
        <v>9900542434</v>
      </c>
      <c r="F460">
        <v>154</v>
      </c>
      <c r="G460">
        <v>8800</v>
      </c>
      <c r="H460">
        <f>G460*3/100</f>
        <v>264</v>
      </c>
      <c r="I460">
        <f>G460-H460</f>
        <v>8536</v>
      </c>
      <c r="J460">
        <v>18.1</v>
      </c>
      <c r="K460">
        <f>I460*J460</f>
        <v>154501.6</v>
      </c>
      <c r="L460">
        <f>F460*6</f>
        <v>924</v>
      </c>
      <c r="P460">
        <f>K460-L460+M460-N460-O460</f>
        <v>153577.6</v>
      </c>
      <c r="R460">
        <f>G460/F460</f>
        <v>57.142857142857146</v>
      </c>
    </row>
    <row r="461">
      <c r="A461">
        <v>449</v>
      </c>
      <c r="B461" t="str">
        <v>22*01*2026</v>
      </c>
      <c r="C461" t="str">
        <v>SHJIV HN</v>
      </c>
      <c r="D461" t="str">
        <v>BELEMALUR</v>
      </c>
      <c r="E461">
        <v>7899817058</v>
      </c>
      <c r="F461">
        <v>44</v>
      </c>
      <c r="G461">
        <v>2520</v>
      </c>
      <c r="H461">
        <f>G461*3/100</f>
        <v>75.6</v>
      </c>
      <c r="I461">
        <f>G461-H461</f>
        <v>2444.4</v>
      </c>
      <c r="J461">
        <v>18.3</v>
      </c>
      <c r="K461">
        <f>I461*J461</f>
        <v>44732.520000000004</v>
      </c>
      <c r="L461">
        <f>F461*6</f>
        <v>264</v>
      </c>
      <c r="P461">
        <f>K461-L461+M461-N461-O461</f>
        <v>44468.520000000004</v>
      </c>
      <c r="R461">
        <f>G461/F461</f>
        <v>57.27272727272727</v>
      </c>
    </row>
    <row r="462">
      <c r="A462">
        <v>450</v>
      </c>
      <c r="B462" t="str">
        <v>22*01*2025</v>
      </c>
      <c r="C462" t="str">
        <v>CHANESH</v>
      </c>
      <c r="D462" t="str">
        <v>SOLTURU</v>
      </c>
      <c r="E462">
        <v>8050264819</v>
      </c>
      <c r="F462">
        <v>90</v>
      </c>
      <c r="G462">
        <v>5150</v>
      </c>
      <c r="H462">
        <f>G462*3/100</f>
        <v>154.5</v>
      </c>
      <c r="I462">
        <f>G462-H462</f>
        <v>4995.5</v>
      </c>
      <c r="J462">
        <v>18.5</v>
      </c>
      <c r="K462">
        <f>I462*J462</f>
        <v>92416.75</v>
      </c>
      <c r="L462">
        <f>F462*6</f>
        <v>540</v>
      </c>
      <c r="P462">
        <f>K462-L462+M462-N462-O462</f>
        <v>91876.75</v>
      </c>
      <c r="R462">
        <f>G462/F462</f>
        <v>57.22222222222222</v>
      </c>
    </row>
    <row r="463">
      <c r="A463">
        <v>451</v>
      </c>
      <c r="B463" t="str">
        <v>22*01*2026</v>
      </c>
      <c r="C463" t="str">
        <v>HANUMATHAPPA</v>
      </c>
      <c r="D463" t="str">
        <v>SOLTURU</v>
      </c>
      <c r="E463">
        <v>7760808112</v>
      </c>
      <c r="F463">
        <v>68</v>
      </c>
      <c r="G463">
        <v>3920</v>
      </c>
      <c r="H463">
        <f>G463*3/100</f>
        <v>117.6</v>
      </c>
      <c r="I463">
        <f>G463-H463</f>
        <v>3802.4</v>
      </c>
      <c r="J463">
        <v>18.5</v>
      </c>
      <c r="K463">
        <f>I463*J463</f>
        <v>70344.40000000001</v>
      </c>
      <c r="L463">
        <f>F463*6</f>
        <v>408</v>
      </c>
      <c r="P463">
        <f>K463-L463+M463-N463-O463</f>
        <v>69936.40000000001</v>
      </c>
      <c r="R463">
        <f>G463/F463</f>
        <v>57.64705882352941</v>
      </c>
    </row>
    <row r="464">
      <c r="A464">
        <v>452</v>
      </c>
      <c r="B464" t="str">
        <v>23*01*2026</v>
      </c>
      <c r="C464" t="str">
        <v>RUDRAPPA</v>
      </c>
      <c r="D464" t="str">
        <v>KUNDURU</v>
      </c>
      <c r="E464">
        <v>9164309982</v>
      </c>
      <c r="F464">
        <v>53</v>
      </c>
      <c r="G464">
        <v>3060</v>
      </c>
      <c r="H464">
        <f>G464*3/100</f>
        <v>91.8</v>
      </c>
      <c r="I464">
        <f>G464-H464</f>
        <v>2968.2</v>
      </c>
      <c r="J464">
        <v>18.5</v>
      </c>
      <c r="K464">
        <f>I464*J464</f>
        <v>54911.7</v>
      </c>
      <c r="L464">
        <f>F464*6</f>
        <v>318</v>
      </c>
      <c r="P464">
        <f>K464-L464+M464-N464-O464</f>
        <v>54593.7</v>
      </c>
      <c r="R464">
        <f>G464/F464</f>
        <v>57.735849056603776</v>
      </c>
    </row>
    <row r="465">
      <c r="A465">
        <v>453</v>
      </c>
      <c r="B465" t="str">
        <v>23*01*2026</v>
      </c>
      <c r="C465" t="str">
        <v>YASHODA</v>
      </c>
      <c r="D465" t="str">
        <v>HANUMASAGARA</v>
      </c>
      <c r="E465">
        <v>8431955594</v>
      </c>
      <c r="F465">
        <v>81</v>
      </c>
      <c r="G465">
        <v>5270</v>
      </c>
      <c r="H465">
        <f>G465*3/100</f>
        <v>158.1</v>
      </c>
      <c r="I465">
        <f>G465-H465</f>
        <v>5111.9</v>
      </c>
      <c r="J465">
        <v>18.3</v>
      </c>
      <c r="K465">
        <f>I465*J465</f>
        <v>93547.77</v>
      </c>
      <c r="L465">
        <f>F465*6</f>
        <v>486</v>
      </c>
      <c r="P465">
        <f>K465-L465+M465-N465-O465</f>
        <v>93061.77</v>
      </c>
      <c r="R465">
        <f>G465/F465</f>
        <v>65.06172839506173</v>
      </c>
    </row>
    <row r="466">
      <c r="A466">
        <v>454</v>
      </c>
      <c r="B466" t="str">
        <v>23*01*2026</v>
      </c>
      <c r="C466" t="str">
        <v>SIDESH</v>
      </c>
      <c r="D466" t="str">
        <v>HANUHADRATI</v>
      </c>
      <c r="E466">
        <v>9380841692</v>
      </c>
      <c r="F466">
        <v>96</v>
      </c>
      <c r="G466">
        <v>5600</v>
      </c>
      <c r="H466">
        <f>G466*3/100</f>
        <v>168</v>
      </c>
      <c r="I466">
        <f>G466-H466</f>
        <v>5432</v>
      </c>
      <c r="J466">
        <v>18.3</v>
      </c>
      <c r="K466">
        <f>I466*J466</f>
        <v>99405.6</v>
      </c>
      <c r="L466">
        <f>F466*6</f>
        <v>576</v>
      </c>
      <c r="P466">
        <f>K466-L466+M466-N466-O466</f>
        <v>98829.6</v>
      </c>
      <c r="R466">
        <f>G466/F466</f>
        <v>58.333333333333336</v>
      </c>
    </row>
    <row r="467">
      <c r="A467">
        <v>455</v>
      </c>
      <c r="B467" t="str">
        <v>24*01*2026</v>
      </c>
      <c r="C467" t="str">
        <v>HONAPPA</v>
      </c>
      <c r="D467" t="str">
        <v>MASDI</v>
      </c>
      <c r="E467">
        <v>7406301841</v>
      </c>
      <c r="F467">
        <v>89</v>
      </c>
      <c r="G467">
        <v>5330</v>
      </c>
      <c r="H467">
        <f>G467*3/100</f>
        <v>159.9</v>
      </c>
      <c r="I467">
        <f>G467-H467</f>
        <v>5170.1</v>
      </c>
      <c r="J467">
        <v>18.6</v>
      </c>
      <c r="K467">
        <f>I467*J467</f>
        <v>96163.86000000002</v>
      </c>
      <c r="L467">
        <f>F467*6</f>
        <v>534</v>
      </c>
      <c r="P467">
        <f>K467-L467+M467-N467-O467</f>
        <v>95629.86000000002</v>
      </c>
      <c r="R467">
        <f>G467/F467</f>
        <v>59.8876404494382</v>
      </c>
    </row>
    <row r="468">
      <c r="A468">
        <v>456</v>
      </c>
      <c r="B468" t="str">
        <v>24*01*2026</v>
      </c>
      <c r="C468" t="str">
        <v>KARBASAPPA</v>
      </c>
      <c r="D468" t="str">
        <v>KABAR</v>
      </c>
      <c r="E468">
        <v>9880705101</v>
      </c>
      <c r="F468">
        <v>443</v>
      </c>
      <c r="G468">
        <v>25600</v>
      </c>
      <c r="H468">
        <f>G468*3/100</f>
        <v>768</v>
      </c>
      <c r="I468">
        <f>G468-H468</f>
        <v>24832</v>
      </c>
      <c r="J468">
        <v>18.6</v>
      </c>
      <c r="K468">
        <f>I468*J468</f>
        <v>461875.2</v>
      </c>
      <c r="L468">
        <f>F468*6</f>
        <v>2658</v>
      </c>
      <c r="P468">
        <f>K468-L468+M468-N468-O468</f>
        <v>459217.2</v>
      </c>
      <c r="R468">
        <f>G468/F468</f>
        <v>57.78781038374718</v>
      </c>
    </row>
    <row r="469">
      <c r="A469">
        <v>457</v>
      </c>
      <c r="B469" t="str">
        <v>24*01*2026</v>
      </c>
      <c r="C469" t="str">
        <v>MANJUNATH</v>
      </c>
      <c r="D469" t="str">
        <v>HONNALI</v>
      </c>
      <c r="E469">
        <v>9986254134</v>
      </c>
      <c r="F469">
        <v>51</v>
      </c>
      <c r="G469">
        <v>3040</v>
      </c>
      <c r="H469">
        <f>G469*3/100</f>
        <v>91.2</v>
      </c>
      <c r="I469">
        <f>G469-H469</f>
        <v>2948.8</v>
      </c>
      <c r="J469">
        <v>18.5</v>
      </c>
      <c r="K469">
        <f>I469*J469</f>
        <v>54552.8</v>
      </c>
      <c r="L469">
        <f>F469*6</f>
        <v>306</v>
      </c>
      <c r="P469">
        <f>K469-L469+M469-N469-O469</f>
        <v>54246.8</v>
      </c>
      <c r="R469">
        <f>G469/F469</f>
        <v>59.6078431372549</v>
      </c>
    </row>
    <row r="470">
      <c r="A470">
        <v>458</v>
      </c>
      <c r="B470" t="str">
        <v>25*01*2026</v>
      </c>
      <c r="C470" t="str">
        <v>BEERAPPA</v>
      </c>
      <c r="D470" t="str">
        <v>HOLEHARAHALLI</v>
      </c>
      <c r="E470">
        <v>7618714113</v>
      </c>
      <c r="F470">
        <v>128</v>
      </c>
      <c r="G470">
        <v>7470</v>
      </c>
      <c r="H470">
        <f>G470*3/100</f>
        <v>224.1</v>
      </c>
      <c r="I470">
        <f>G470-H470</f>
        <v>7245.9</v>
      </c>
      <c r="J470">
        <v>18.3</v>
      </c>
      <c r="K470">
        <f>I470*J470</f>
        <v>132599.97</v>
      </c>
      <c r="L470">
        <f>F470*6</f>
        <v>768</v>
      </c>
      <c r="P470">
        <f>K470-L470+M470-N470-O470</f>
        <v>131831.97</v>
      </c>
      <c r="R470">
        <f>G470/F470</f>
        <v>58.359375</v>
      </c>
    </row>
    <row r="471">
      <c r="A471">
        <v>459</v>
      </c>
      <c r="B471" t="str">
        <v>25*01*2026</v>
      </c>
      <c r="C471" t="str">
        <v>SATISH</v>
      </c>
      <c r="D471" t="str">
        <v>HOLEHARAHALLI</v>
      </c>
      <c r="E471">
        <v>9731728780</v>
      </c>
      <c r="F471">
        <v>69</v>
      </c>
      <c r="G471">
        <v>3890</v>
      </c>
      <c r="H471">
        <f>G471*3/100</f>
        <v>116.7</v>
      </c>
      <c r="I471">
        <f>G471-H471</f>
        <v>3773.3</v>
      </c>
      <c r="J471">
        <v>18.5</v>
      </c>
      <c r="K471">
        <f>I471*J471</f>
        <v>69806.05</v>
      </c>
      <c r="L471">
        <f>F471*6</f>
        <v>414</v>
      </c>
      <c r="P471">
        <f>K471-L471+M471-N471-O471</f>
        <v>69392.05</v>
      </c>
      <c r="R471">
        <f>G471/F471</f>
        <v>56.3768115942029</v>
      </c>
    </row>
    <row r="472">
      <c r="A472">
        <v>460</v>
      </c>
      <c r="B472" t="str">
        <v>25*01*2026</v>
      </c>
      <c r="C472" t="str">
        <v>HALESH</v>
      </c>
      <c r="D472" t="str">
        <v>SUKADKATTE</v>
      </c>
      <c r="E472">
        <v>8095397812</v>
      </c>
      <c r="F472">
        <v>79</v>
      </c>
      <c r="G472">
        <v>4550</v>
      </c>
      <c r="H472">
        <f>G472*3/100</f>
        <v>136.5</v>
      </c>
      <c r="I472">
        <f>G472-H472</f>
        <v>4413.5</v>
      </c>
      <c r="J472">
        <v>18.4</v>
      </c>
      <c r="K472">
        <f>I472*J472</f>
        <v>81208.4</v>
      </c>
      <c r="L472">
        <f>F472*6</f>
        <v>474</v>
      </c>
      <c r="P472">
        <f>K472-L472+M472-N472-O472</f>
        <v>80734.4</v>
      </c>
      <c r="R472">
        <f>G472/F472</f>
        <v>57.59493670886076</v>
      </c>
    </row>
    <row r="473">
      <c r="A473">
        <v>461</v>
      </c>
      <c r="B473" t="str">
        <v>25*01*2026</v>
      </c>
      <c r="C473" t="str">
        <v>GAJENDRS</v>
      </c>
      <c r="D473" t="str">
        <v>THARHALLI</v>
      </c>
      <c r="E473">
        <v>9164014288</v>
      </c>
      <c r="F473">
        <v>75</v>
      </c>
      <c r="G473">
        <v>4290</v>
      </c>
      <c r="H473">
        <f>G473*3/100</f>
        <v>128.7</v>
      </c>
      <c r="I473">
        <f>G473-H473</f>
        <v>4161.3</v>
      </c>
      <c r="J473">
        <v>18.5</v>
      </c>
      <c r="K473">
        <f>I473*J473</f>
        <v>76984.05</v>
      </c>
      <c r="L473">
        <f>F473*6</f>
        <v>450</v>
      </c>
      <c r="P473">
        <f>K473-L473+M473-N473-O473</f>
        <v>76534.05</v>
      </c>
      <c r="R473">
        <f>G473/F473</f>
        <v>57.2</v>
      </c>
    </row>
    <row r="474">
      <c r="A474">
        <v>462</v>
      </c>
      <c r="B474" t="str">
        <v>25*01*2026</v>
      </c>
      <c r="C474" t="str">
        <v>NAGARAJ</v>
      </c>
      <c r="D474" t="str">
        <v>THARHALLI</v>
      </c>
      <c r="E474">
        <v>9743006602</v>
      </c>
      <c r="F474">
        <v>48</v>
      </c>
      <c r="G474">
        <v>2740</v>
      </c>
      <c r="H474">
        <f>G474*3/100</f>
        <v>82.2</v>
      </c>
      <c r="I474">
        <f>G474-H474</f>
        <v>2657.8</v>
      </c>
      <c r="J474">
        <v>18.5</v>
      </c>
      <c r="K474">
        <f>I474*J474</f>
        <v>49169.3</v>
      </c>
      <c r="L474">
        <f>F474*6</f>
        <v>288</v>
      </c>
      <c r="P474">
        <f>K474-L474+M474-N474-O474</f>
        <v>48881.3</v>
      </c>
      <c r="R474">
        <f>G474/F474</f>
        <v>57.083333333333336</v>
      </c>
    </row>
    <row r="475">
      <c r="A475">
        <v>463</v>
      </c>
      <c r="B475" t="str">
        <v>25*01*2026</v>
      </c>
      <c r="C475" t="str">
        <v>RAJAPPA</v>
      </c>
      <c r="D475" t="str">
        <v>THARHALLI</v>
      </c>
      <c r="E475">
        <v>7353289260</v>
      </c>
      <c r="F475">
        <v>50</v>
      </c>
      <c r="G475">
        <v>2860</v>
      </c>
      <c r="H475">
        <f>G475*3/100</f>
        <v>85.8</v>
      </c>
      <c r="I475">
        <f>G475-H475</f>
        <v>2774.2</v>
      </c>
      <c r="J475">
        <v>18.5</v>
      </c>
      <c r="K475">
        <f>I475*J475</f>
        <v>51322.7</v>
      </c>
      <c r="L475">
        <f>F475*6</f>
        <v>300</v>
      </c>
      <c r="P475">
        <f>K475-L475+M475-N475-O475</f>
        <v>51022.7</v>
      </c>
      <c r="R475">
        <f>G475/F475</f>
        <v>57.2</v>
      </c>
    </row>
    <row r="476">
      <c r="A476">
        <v>464</v>
      </c>
      <c r="B476" t="str">
        <v>25*01*2026</v>
      </c>
      <c r="C476" t="str">
        <v>NAGARAJ</v>
      </c>
      <c r="D476" t="str">
        <v>THARHALLI</v>
      </c>
      <c r="E476">
        <v>7760354043</v>
      </c>
      <c r="F476">
        <v>40</v>
      </c>
      <c r="G476">
        <v>2280</v>
      </c>
      <c r="H476">
        <f>G476*3/100</f>
        <v>68.4</v>
      </c>
      <c r="I476">
        <f>G476-H476</f>
        <v>2211.6</v>
      </c>
      <c r="J476">
        <v>18.5</v>
      </c>
      <c r="K476">
        <f>I476*J476</f>
        <v>40914.6</v>
      </c>
      <c r="L476">
        <f>F476*6</f>
        <v>240</v>
      </c>
      <c r="P476">
        <f>K476-L476+M476-N476-O476</f>
        <v>40674.6</v>
      </c>
      <c r="R476">
        <f>G476/F476</f>
        <v>57</v>
      </c>
    </row>
    <row r="477">
      <c r="A477">
        <v>465</v>
      </c>
      <c r="B477" t="str">
        <v>25*01*2026</v>
      </c>
      <c r="C477" t="str">
        <v>RUDRAPPA</v>
      </c>
      <c r="D477" t="str">
        <v>THARHALLI</v>
      </c>
      <c r="E477">
        <v>8722857987</v>
      </c>
      <c r="F477">
        <v>19</v>
      </c>
      <c r="G477">
        <v>1030</v>
      </c>
      <c r="H477">
        <f>G477*3/100</f>
        <v>30.9</v>
      </c>
      <c r="I477">
        <f>G477-H477</f>
        <v>999.1</v>
      </c>
      <c r="J477">
        <v>18.5</v>
      </c>
      <c r="K477">
        <f>I477*J477</f>
        <v>18483.350000000002</v>
      </c>
      <c r="L477">
        <f>F477*6</f>
        <v>114</v>
      </c>
      <c r="P477">
        <f>K477-L477+M477-N477-O477</f>
        <v>18369.350000000002</v>
      </c>
      <c r="R477">
        <f>G477/F477</f>
        <v>54.21052631578947</v>
      </c>
    </row>
    <row r="478">
      <c r="A478">
        <v>466</v>
      </c>
      <c r="B478" t="str">
        <v>26*01*2026</v>
      </c>
      <c r="C478" t="str">
        <v>NIGA NAIK</v>
      </c>
      <c r="D478" t="str">
        <v>VADARATTI</v>
      </c>
      <c r="E478">
        <v>6361221780</v>
      </c>
      <c r="F478">
        <v>61</v>
      </c>
      <c r="G478">
        <v>3520</v>
      </c>
      <c r="H478">
        <f>G478*3/100</f>
        <v>105.6</v>
      </c>
      <c r="I478">
        <f>G478-H478</f>
        <v>3414.4</v>
      </c>
      <c r="J478">
        <v>18.5</v>
      </c>
      <c r="K478">
        <f>I478*J478</f>
        <v>63166.4</v>
      </c>
      <c r="L478">
        <f>F478*6</f>
        <v>366</v>
      </c>
      <c r="P478">
        <f>K478-L478+M478-N478-O478</f>
        <v>62800.4</v>
      </c>
      <c r="R478">
        <f>G478/F478</f>
        <v>57.704918032786885</v>
      </c>
    </row>
    <row r="479">
      <c r="A479">
        <v>467</v>
      </c>
      <c r="B479" t="str">
        <v>26*01*2026</v>
      </c>
      <c r="C479" t="str">
        <v>RAJA NAIK</v>
      </c>
      <c r="D479" t="str">
        <v>VADEARATTI</v>
      </c>
      <c r="E479">
        <v>6361221780</v>
      </c>
      <c r="F479">
        <v>31</v>
      </c>
      <c r="G479">
        <v>1820</v>
      </c>
      <c r="H479">
        <f>G479*3/100</f>
        <v>54.6</v>
      </c>
      <c r="I479">
        <f>G479-H479</f>
        <v>1765.4</v>
      </c>
      <c r="J479">
        <v>18.5</v>
      </c>
      <c r="K479">
        <f>I479*J479</f>
        <v>32659.9</v>
      </c>
      <c r="L479">
        <f>F479*6</f>
        <v>186</v>
      </c>
      <c r="P479">
        <f>K479-L479+M479-N479-O479</f>
        <v>32473.9</v>
      </c>
      <c r="R479">
        <f>G479/F479</f>
        <v>58.70967741935484</v>
      </c>
    </row>
    <row r="480">
      <c r="A480">
        <v>468</v>
      </c>
      <c r="B480" t="str">
        <v>26*01*2026</v>
      </c>
      <c r="C480" t="str">
        <v>TAVRE NAIK</v>
      </c>
      <c r="D480" t="str">
        <v>VADEARATTI</v>
      </c>
      <c r="E480">
        <v>6361221780</v>
      </c>
      <c r="F480">
        <v>122</v>
      </c>
      <c r="G480">
        <v>6960</v>
      </c>
      <c r="H480">
        <f>G480*3/100</f>
        <v>208.8</v>
      </c>
      <c r="I480">
        <f>G480-H480</f>
        <v>6751.2</v>
      </c>
      <c r="J480">
        <v>18.5</v>
      </c>
      <c r="K480">
        <f>I480*J480</f>
        <v>124897.2</v>
      </c>
      <c r="L480">
        <f>F480*6</f>
        <v>732</v>
      </c>
      <c r="P480">
        <f>K480-L480+M480-N480-O480</f>
        <v>124165.2</v>
      </c>
      <c r="R480">
        <f>G480/F480</f>
        <v>57.049180327868854</v>
      </c>
    </row>
    <row r="481">
      <c r="A481">
        <v>469</v>
      </c>
      <c r="B481" t="str">
        <v>26*01*2026</v>
      </c>
      <c r="C481" t="str">
        <v>RAMESH</v>
      </c>
      <c r="D481" t="str">
        <v>VADEARATTI</v>
      </c>
      <c r="F481">
        <v>16</v>
      </c>
      <c r="G481">
        <v>900</v>
      </c>
      <c r="H481">
        <f>G481*3/100</f>
        <v>27</v>
      </c>
      <c r="I481">
        <f>G481-H481</f>
        <v>873</v>
      </c>
      <c r="J481">
        <v>18.4</v>
      </c>
      <c r="K481">
        <f>I481*J481</f>
        <v>16063.199999999999</v>
      </c>
      <c r="L481">
        <f>F481*6</f>
        <v>96</v>
      </c>
      <c r="P481">
        <f>K481-L481+M481-N481-O481</f>
        <v>15967.199999999999</v>
      </c>
      <c r="R481">
        <f>G481/F481</f>
        <v>56.25</v>
      </c>
    </row>
    <row r="482">
      <c r="A482">
        <v>470</v>
      </c>
      <c r="B482" t="str">
        <v>26*01*2026</v>
      </c>
      <c r="C482" t="str">
        <v>VIJAY KUMAR</v>
      </c>
      <c r="D482" t="str">
        <v>MADANBAVI</v>
      </c>
      <c r="E482">
        <v>9164179956</v>
      </c>
      <c r="F482">
        <v>246</v>
      </c>
      <c r="G482">
        <v>14170</v>
      </c>
      <c r="H482">
        <f>G482*3/100</f>
        <v>425.1</v>
      </c>
      <c r="I482">
        <f>G482-H482</f>
        <v>13744.9</v>
      </c>
      <c r="J482">
        <v>18.55</v>
      </c>
      <c r="K482">
        <f>I482*J482</f>
        <v>254967.895</v>
      </c>
      <c r="L482">
        <f>F482*6</f>
        <v>1476</v>
      </c>
      <c r="P482">
        <f>K482-L482+M482-N482-O482</f>
        <v>253491.895</v>
      </c>
      <c r="R482">
        <f>G482/F482</f>
        <v>57.60162601626016</v>
      </c>
    </row>
    <row r="483">
      <c r="A483">
        <v>471</v>
      </c>
      <c r="B483" t="str">
        <v>26*01*2026</v>
      </c>
      <c r="C483" t="str">
        <v>AJAY</v>
      </c>
      <c r="D483" t="str">
        <v>KOTEMALURU</v>
      </c>
      <c r="E483">
        <v>7760467379</v>
      </c>
      <c r="F483">
        <v>20</v>
      </c>
      <c r="G483">
        <v>1080</v>
      </c>
      <c r="H483">
        <f>G483*3/100</f>
        <v>32.4</v>
      </c>
      <c r="I483">
        <f>G483-H483</f>
        <v>1047.6</v>
      </c>
      <c r="J483">
        <v>17.8</v>
      </c>
      <c r="K483">
        <f>I483*J483</f>
        <v>18647.28</v>
      </c>
      <c r="L483">
        <f>F483*6</f>
        <v>120</v>
      </c>
      <c r="P483">
        <f>K483-L483+M483-N483-O483</f>
        <v>18527.28</v>
      </c>
      <c r="R483">
        <f>G483/F483</f>
        <v>54</v>
      </c>
    </row>
    <row r="484">
      <c r="A484">
        <v>472</v>
      </c>
      <c r="B484" t="str">
        <v>26*01*2026</v>
      </c>
      <c r="C484" t="str">
        <v>AJAY</v>
      </c>
      <c r="D484" t="str">
        <v>KOTEMALURU</v>
      </c>
      <c r="E484">
        <v>7760467379</v>
      </c>
      <c r="F484">
        <v>22</v>
      </c>
      <c r="G484">
        <v>1326</v>
      </c>
      <c r="H484">
        <f>G484*3/100</f>
        <v>39.78</v>
      </c>
      <c r="I484">
        <f>G484-H484</f>
        <v>1286.22</v>
      </c>
      <c r="J484">
        <v>18.4</v>
      </c>
      <c r="K484">
        <f>I484*J484</f>
        <v>23666.448</v>
      </c>
      <c r="L484">
        <f>F484*6</f>
        <v>132</v>
      </c>
      <c r="P484">
        <f>K484-L484+M484-N484-O484</f>
        <v>23534.448</v>
      </c>
      <c r="R484">
        <f>G484/F484</f>
        <v>60.27272727272727</v>
      </c>
    </row>
    <row r="485">
      <c r="A485">
        <v>473</v>
      </c>
      <c r="B485" t="str">
        <v>26*01*2026</v>
      </c>
      <c r="C485" t="str">
        <v>SANTOSH</v>
      </c>
      <c r="D485" t="str">
        <v>BALMURI</v>
      </c>
      <c r="E485">
        <v>9591501629</v>
      </c>
      <c r="F485">
        <v>125</v>
      </c>
      <c r="G485">
        <v>7050</v>
      </c>
      <c r="H485">
        <f>G485*3/100</f>
        <v>211.5</v>
      </c>
      <c r="I485">
        <f>G485-H485</f>
        <v>6838.5</v>
      </c>
      <c r="J485">
        <v>18.4</v>
      </c>
      <c r="K485">
        <f>I485*J485</f>
        <v>125828.4</v>
      </c>
      <c r="L485">
        <f>F485*6</f>
        <v>750</v>
      </c>
      <c r="P485">
        <f>K485-L485+M485-N485-O485</f>
        <v>125078.4</v>
      </c>
      <c r="R485">
        <f>G485/F485</f>
        <v>56.4</v>
      </c>
    </row>
    <row r="486">
      <c r="A486">
        <v>474</v>
      </c>
      <c r="B486" t="str">
        <v>26*01*2026</v>
      </c>
      <c r="C486" t="str">
        <v>MAHESHVARAPPA</v>
      </c>
      <c r="D486" t="str">
        <v>THARHALLI</v>
      </c>
      <c r="E486">
        <v>9901078238</v>
      </c>
      <c r="F486">
        <v>105</v>
      </c>
      <c r="G486">
        <v>5930</v>
      </c>
      <c r="H486">
        <f>G486*3/100</f>
        <v>177.9</v>
      </c>
      <c r="I486">
        <f>G486-H486</f>
        <v>5752.1</v>
      </c>
      <c r="J486">
        <v>18.5</v>
      </c>
      <c r="K486">
        <f>I486*J486</f>
        <v>106413.85</v>
      </c>
      <c r="L486">
        <f>F486*6</f>
        <v>630</v>
      </c>
      <c r="P486">
        <f>K486-L486+M486-N486-O486</f>
        <v>105783.85</v>
      </c>
      <c r="R486">
        <f>G486/F486</f>
        <v>56.476190476190474</v>
      </c>
    </row>
    <row r="487">
      <c r="A487">
        <v>475</v>
      </c>
      <c r="B487" t="str">
        <v>26*01*2026</v>
      </c>
      <c r="C487" t="str">
        <v>PRABAKAR</v>
      </c>
      <c r="D487" t="str">
        <v>THARHALLI</v>
      </c>
      <c r="E487">
        <v>6361427166</v>
      </c>
      <c r="F487">
        <v>73</v>
      </c>
      <c r="G487">
        <v>4180</v>
      </c>
      <c r="H487">
        <f>G487*3/100</f>
        <v>125.4</v>
      </c>
      <c r="I487">
        <f>G487-H487</f>
        <v>4054.6</v>
      </c>
      <c r="J487">
        <v>18.5</v>
      </c>
      <c r="K487">
        <f>I487*J487</f>
        <v>75010.09999999999</v>
      </c>
      <c r="L487">
        <f>F487*6</f>
        <v>438</v>
      </c>
      <c r="P487">
        <f>K487-L487+M487-N487-O487</f>
        <v>74572.09999999999</v>
      </c>
      <c r="R487">
        <f>G487/F487</f>
        <v>57.26027397260274</v>
      </c>
    </row>
    <row r="488">
      <c r="A488">
        <v>476</v>
      </c>
      <c r="B488" t="str">
        <v>27*01*2026</v>
      </c>
      <c r="C488" t="str">
        <v>MANJAPPA</v>
      </c>
      <c r="D488" t="str">
        <v>THARHALLI</v>
      </c>
      <c r="E488">
        <v>7411476776</v>
      </c>
      <c r="F488">
        <v>118</v>
      </c>
      <c r="G488">
        <v>6880</v>
      </c>
      <c r="H488">
        <f>G488*3/100</f>
        <v>206.4</v>
      </c>
      <c r="I488">
        <f>G488-H488</f>
        <v>6673.6</v>
      </c>
      <c r="J488">
        <v>18.5</v>
      </c>
      <c r="K488">
        <f>I488*J488</f>
        <v>123461.6</v>
      </c>
      <c r="L488">
        <f>F488*6</f>
        <v>708</v>
      </c>
      <c r="P488">
        <f>K488-L488+M488-N488-O488</f>
        <v>122753.6</v>
      </c>
      <c r="R488">
        <f>G488/F488</f>
        <v>58.30508474576271</v>
      </c>
    </row>
    <row r="489">
      <c r="A489">
        <v>477</v>
      </c>
      <c r="B489" t="str">
        <v>27*01*2026</v>
      </c>
      <c r="C489" t="str">
        <v>CHADAPPA</v>
      </c>
      <c r="D489" t="str">
        <v>THARHALLI</v>
      </c>
      <c r="E489">
        <v>9164450586</v>
      </c>
      <c r="F489">
        <v>65</v>
      </c>
      <c r="G489">
        <v>3790</v>
      </c>
      <c r="H489">
        <f>G489*3/100</f>
        <v>113.7</v>
      </c>
      <c r="I489">
        <f>G489-H489</f>
        <v>3676.3</v>
      </c>
      <c r="J489">
        <v>18.5</v>
      </c>
      <c r="K489">
        <f>I489*J489</f>
        <v>68011.55</v>
      </c>
      <c r="L489">
        <f>F489*6</f>
        <v>390</v>
      </c>
      <c r="P489">
        <f>K489-L489+M489-N489-O489</f>
        <v>67621.55</v>
      </c>
      <c r="R489">
        <f>G489/F489</f>
        <v>58.30769230769231</v>
      </c>
    </row>
    <row r="490">
      <c r="A490">
        <v>478</v>
      </c>
      <c r="B490" t="str">
        <v>27*01*2026</v>
      </c>
      <c r="C490" t="str">
        <v>CHANABASAPPA</v>
      </c>
      <c r="D490" t="str">
        <v>THARHALLI</v>
      </c>
      <c r="E490">
        <v>9164450586</v>
      </c>
      <c r="F490">
        <v>23</v>
      </c>
      <c r="G490">
        <v>1320</v>
      </c>
      <c r="H490">
        <f>G490*3/100</f>
        <v>39.6</v>
      </c>
      <c r="I490">
        <f>G490-H490</f>
        <v>1280.4</v>
      </c>
      <c r="J490">
        <v>18.5</v>
      </c>
      <c r="K490">
        <f>I490*J490</f>
        <v>23687.4</v>
      </c>
      <c r="L490">
        <f>F490*6</f>
        <v>138</v>
      </c>
      <c r="P490">
        <f>K490-L490+M490-N490-O490</f>
        <v>23549.4</v>
      </c>
      <c r="R490">
        <f>G490/F490</f>
        <v>57.391304347826086</v>
      </c>
    </row>
    <row r="491">
      <c r="A491">
        <v>479</v>
      </c>
      <c r="B491" t="str">
        <v>27*01*2026</v>
      </c>
      <c r="C491" t="str">
        <v>MANJAPPA</v>
      </c>
      <c r="D491" t="str">
        <v>HOSKATTE</v>
      </c>
      <c r="E491">
        <v>9731221057</v>
      </c>
      <c r="F491">
        <v>46</v>
      </c>
      <c r="G491">
        <v>2590</v>
      </c>
      <c r="H491">
        <f>G491*3/100</f>
        <v>77.7</v>
      </c>
      <c r="I491">
        <f>G491-H491</f>
        <v>2512.3</v>
      </c>
      <c r="J491">
        <v>18.4</v>
      </c>
      <c r="K491">
        <f>I491*J491</f>
        <v>46226.32</v>
      </c>
      <c r="L491">
        <f>F491*6</f>
        <v>276</v>
      </c>
      <c r="P491">
        <f>K491-L491+M491-N491-O491</f>
        <v>45950.32</v>
      </c>
      <c r="R491">
        <f>G491/F491</f>
        <v>56.30434782608695</v>
      </c>
    </row>
    <row r="492">
      <c r="A492">
        <v>480</v>
      </c>
      <c r="B492" t="str">
        <v>27*01*2026</v>
      </c>
      <c r="C492" t="str">
        <v>CHANDRAPPA</v>
      </c>
      <c r="D492" t="str">
        <v>BALMURI</v>
      </c>
      <c r="E492">
        <v>8546817269</v>
      </c>
      <c r="F492">
        <v>37</v>
      </c>
      <c r="G492">
        <v>2100</v>
      </c>
      <c r="H492">
        <f>G492*3/100</f>
        <v>63</v>
      </c>
      <c r="I492">
        <f>G492-H492</f>
        <v>2037</v>
      </c>
      <c r="J492">
        <v>18.4</v>
      </c>
      <c r="K492">
        <f>I492*J492</f>
        <v>37480.799999999996</v>
      </c>
      <c r="L492">
        <f>F492*6</f>
        <v>222</v>
      </c>
      <c r="P492">
        <f>K492-L492+M492-N492-O492</f>
        <v>37258.799999999996</v>
      </c>
      <c r="R492">
        <f>G492/F492</f>
        <v>56.75675675675676</v>
      </c>
    </row>
    <row r="493">
      <c r="A493">
        <v>481</v>
      </c>
      <c r="B493" t="str">
        <v>27*01*2026</v>
      </c>
      <c r="C493" t="str">
        <v>HANUMATHAPPA</v>
      </c>
      <c r="D493" t="str">
        <v>BALESHWARA</v>
      </c>
      <c r="E493">
        <v>7975841592</v>
      </c>
      <c r="F493">
        <v>27</v>
      </c>
      <c r="G493">
        <v>1600</v>
      </c>
      <c r="H493">
        <f>G493*3/100</f>
        <v>48</v>
      </c>
      <c r="I493">
        <f>G493-H493</f>
        <v>1552</v>
      </c>
      <c r="J493">
        <v>18.1</v>
      </c>
      <c r="K493">
        <f>I493*J493</f>
        <v>28091.2</v>
      </c>
      <c r="L493">
        <f>F493*6</f>
        <v>162</v>
      </c>
      <c r="P493">
        <f>K493-L493+M493-N493-O493</f>
        <v>27929.2</v>
      </c>
      <c r="R493">
        <f>G493/F493</f>
        <v>59.25925925925926</v>
      </c>
    </row>
    <row r="494">
      <c r="A494">
        <v>482</v>
      </c>
      <c r="B494" t="str">
        <v>27*01*2026</v>
      </c>
      <c r="C494" t="str">
        <v>MANJUNATH</v>
      </c>
      <c r="D494" t="str">
        <v>CHIKAGONGERE</v>
      </c>
      <c r="E494">
        <v>8277307243</v>
      </c>
      <c r="F494">
        <v>54</v>
      </c>
      <c r="G494">
        <v>3010</v>
      </c>
      <c r="H494">
        <f>G494*3/100</f>
        <v>90.3</v>
      </c>
      <c r="I494">
        <f>G494-H494</f>
        <v>2919.7</v>
      </c>
      <c r="J494">
        <v>18</v>
      </c>
      <c r="K494">
        <f>I494*J494</f>
        <v>52554.6</v>
      </c>
      <c r="L494">
        <f>F494*6</f>
        <v>324</v>
      </c>
      <c r="P494">
        <f>K494-L494+M494-N494-O494</f>
        <v>52230.6</v>
      </c>
      <c r="R494">
        <f>G494/F494</f>
        <v>55.74074074074074</v>
      </c>
    </row>
    <row r="495">
      <c r="A495">
        <v>483</v>
      </c>
      <c r="B495" t="str">
        <v>28*01*2026</v>
      </c>
      <c r="C495" t="str">
        <v>KUDAALI</v>
      </c>
      <c r="D495" t="str">
        <v>GONIGERE</v>
      </c>
      <c r="E495">
        <v>9900837496</v>
      </c>
      <c r="F495">
        <v>105</v>
      </c>
      <c r="G495">
        <v>6260</v>
      </c>
      <c r="H495">
        <f>G495*3/100</f>
        <v>187.8</v>
      </c>
      <c r="I495">
        <f>G495-H495</f>
        <v>6072.2</v>
      </c>
      <c r="J495">
        <v>18.5</v>
      </c>
      <c r="K495">
        <f>I495*J495</f>
        <v>112335.7</v>
      </c>
      <c r="L495">
        <f>F495*6</f>
        <v>630</v>
      </c>
      <c r="P495">
        <f>K495-L495+M495-N495-O495</f>
        <v>111705.7</v>
      </c>
      <c r="R495">
        <f>G495/F495</f>
        <v>59.61904761904762</v>
      </c>
    </row>
    <row r="496">
      <c r="A496">
        <v>484</v>
      </c>
      <c r="B496" t="str">
        <v>28*01*2026</v>
      </c>
      <c r="C496" t="str">
        <v>MANJAPPA</v>
      </c>
      <c r="D496" t="str">
        <v>GONIGERE</v>
      </c>
      <c r="E496">
        <v>9900837496</v>
      </c>
      <c r="F496">
        <v>34</v>
      </c>
      <c r="G496">
        <v>2030</v>
      </c>
      <c r="H496">
        <f>G496*3/100</f>
        <v>60.9</v>
      </c>
      <c r="I496">
        <f>G496-H496</f>
        <v>1969.1</v>
      </c>
      <c r="J496">
        <v>18.5</v>
      </c>
      <c r="K496">
        <f>I496*J496</f>
        <v>36428.35</v>
      </c>
      <c r="L496">
        <f>F496*6</f>
        <v>204</v>
      </c>
      <c r="P496">
        <f>K496-L496+M496-N496-O496</f>
        <v>36224.35</v>
      </c>
      <c r="R496">
        <f>G496/F496</f>
        <v>59.705882352941174</v>
      </c>
    </row>
    <row r="497">
      <c r="A497">
        <v>485</v>
      </c>
      <c r="B497" t="str">
        <v>28*01*2026</v>
      </c>
      <c r="C497" t="str">
        <v>PRAMESHAPPA</v>
      </c>
      <c r="D497" t="str">
        <v>GONIGERE</v>
      </c>
      <c r="E497">
        <v>7022304432</v>
      </c>
      <c r="F497">
        <v>3</v>
      </c>
      <c r="G497">
        <v>185</v>
      </c>
      <c r="H497">
        <f>G497*3/100</f>
        <v>5.55</v>
      </c>
      <c r="I497">
        <f>G497-H497</f>
        <v>179.45</v>
      </c>
      <c r="J497">
        <v>18</v>
      </c>
      <c r="K497">
        <f>I497*J497</f>
        <v>3230.1</v>
      </c>
      <c r="L497">
        <f>F497*6</f>
        <v>18</v>
      </c>
      <c r="P497">
        <f>K497-L497+M497-N497-O497</f>
        <v>3212.1</v>
      </c>
      <c r="R497">
        <f>G497/F497</f>
        <v>61.666666666666664</v>
      </c>
    </row>
    <row r="498">
      <c r="A498">
        <v>486</v>
      </c>
      <c r="B498" t="str">
        <v>28*01*2026</v>
      </c>
      <c r="C498" t="str">
        <v>VEERANA</v>
      </c>
      <c r="D498" t="str">
        <v>DODARAHALLI</v>
      </c>
      <c r="E498">
        <v>8660327021</v>
      </c>
      <c r="F498">
        <v>211</v>
      </c>
      <c r="G498">
        <v>12560</v>
      </c>
      <c r="H498">
        <f>G498*3/100</f>
        <v>376.8</v>
      </c>
      <c r="I498">
        <f>G498-H498</f>
        <v>12183.2</v>
      </c>
      <c r="J498">
        <v>18.2</v>
      </c>
      <c r="K498">
        <f>I498*J498</f>
        <v>221734.24</v>
      </c>
      <c r="L498">
        <f>F498*6</f>
        <v>1266</v>
      </c>
      <c r="P498">
        <f>K498-L498+M498-N498-O498</f>
        <v>220468.24</v>
      </c>
      <c r="R498">
        <f>G498/F498</f>
        <v>59.5260663507109</v>
      </c>
    </row>
    <row r="499">
      <c r="A499">
        <v>487</v>
      </c>
      <c r="B499" t="str">
        <v>28*01*2026</v>
      </c>
      <c r="C499" t="str">
        <v>RAVI</v>
      </c>
      <c r="D499" t="str">
        <v>DODARAHALLI</v>
      </c>
      <c r="E499">
        <v>8660327021</v>
      </c>
      <c r="F499">
        <v>61</v>
      </c>
      <c r="G499">
        <v>3570</v>
      </c>
      <c r="H499">
        <f>G499*3/100</f>
        <v>107.1</v>
      </c>
      <c r="I499">
        <f>G499-H499</f>
        <v>3462.9</v>
      </c>
      <c r="J499">
        <v>18.2</v>
      </c>
      <c r="K499">
        <f>I499*J499</f>
        <v>63024.78</v>
      </c>
      <c r="L499">
        <f>F499*6</f>
        <v>366</v>
      </c>
      <c r="P499">
        <f>K499-L499+M499-N499-O499</f>
        <v>62658.78</v>
      </c>
      <c r="R499">
        <f>G499/F499</f>
        <v>58.52459016393443</v>
      </c>
    </row>
    <row r="500">
      <c r="A500">
        <v>488</v>
      </c>
      <c r="B500" t="str">
        <v>28*01*2026</v>
      </c>
      <c r="C500" t="str">
        <v>RAGANATH DR</v>
      </c>
      <c r="D500" t="str">
        <v>NARSAHALLI</v>
      </c>
      <c r="E500">
        <v>9986269646</v>
      </c>
      <c r="F500">
        <v>20</v>
      </c>
      <c r="G500">
        <v>1190</v>
      </c>
      <c r="H500">
        <f>G500*3/100</f>
        <v>35.7</v>
      </c>
      <c r="I500">
        <f>G500-H500</f>
        <v>1154.3</v>
      </c>
      <c r="J500">
        <v>18.2</v>
      </c>
      <c r="K500">
        <f>I500*J500</f>
        <v>21008.26</v>
      </c>
      <c r="L500">
        <f>F500*6</f>
        <v>120</v>
      </c>
      <c r="P500">
        <f>K500-L500+M500-N500-O500</f>
        <v>20888.26</v>
      </c>
      <c r="R500">
        <f>G500/F500</f>
        <v>59.5</v>
      </c>
    </row>
    <row r="501">
      <c r="A501">
        <v>489</v>
      </c>
      <c r="B501" t="str">
        <v>28*01*2026</v>
      </c>
      <c r="C501" t="str">
        <v>GAGANA GOWDA</v>
      </c>
      <c r="D501" t="str">
        <v>DODARAHALLI</v>
      </c>
      <c r="E501">
        <v>9901972637</v>
      </c>
      <c r="F501">
        <v>9</v>
      </c>
      <c r="G501">
        <v>530</v>
      </c>
      <c r="H501">
        <f>G501*3/100</f>
        <v>15.9</v>
      </c>
      <c r="I501">
        <f>G501-H501</f>
        <v>514.1</v>
      </c>
      <c r="J501">
        <v>18.2</v>
      </c>
      <c r="K501">
        <f>I501*J501</f>
        <v>9356.62</v>
      </c>
      <c r="L501">
        <f>F501*6</f>
        <v>54</v>
      </c>
      <c r="P501">
        <f>K501-L501+M501-N501-O501</f>
        <v>9302.62</v>
      </c>
      <c r="R501">
        <f>G501/F501</f>
        <v>58.888888888888886</v>
      </c>
    </row>
    <row r="502">
      <c r="A502">
        <v>490</v>
      </c>
      <c r="B502" t="str">
        <v>28*01*2026</v>
      </c>
      <c r="C502" t="str">
        <v>KUBERAPPA</v>
      </c>
      <c r="D502" t="str">
        <v>DODARAHALLI</v>
      </c>
      <c r="E502">
        <v>8431847920</v>
      </c>
      <c r="F502">
        <v>68</v>
      </c>
      <c r="G502">
        <v>3920</v>
      </c>
      <c r="H502">
        <f>G502*3/100</f>
        <v>117.6</v>
      </c>
      <c r="I502">
        <f>G502-H502</f>
        <v>3802.4</v>
      </c>
      <c r="J502">
        <v>18.2</v>
      </c>
      <c r="K502">
        <f>I502*J502</f>
        <v>69203.68</v>
      </c>
      <c r="L502">
        <f>F502*6</f>
        <v>408</v>
      </c>
      <c r="P502">
        <f>K502-L502+M502-N502-O502</f>
        <v>68795.68</v>
      </c>
      <c r="R502">
        <f>G502/F502</f>
        <v>57.64705882352941</v>
      </c>
    </row>
    <row r="503">
      <c r="A503">
        <v>491</v>
      </c>
      <c r="B503" t="str">
        <v>28*01*2026</v>
      </c>
      <c r="C503" t="str">
        <v>GADIYAPPA</v>
      </c>
      <c r="D503" t="str">
        <v>H GOPAHALLI</v>
      </c>
      <c r="E503">
        <v>9972481592</v>
      </c>
      <c r="F503">
        <v>52</v>
      </c>
      <c r="G503">
        <v>3020</v>
      </c>
      <c r="H503">
        <f>G503*3/100</f>
        <v>90.6</v>
      </c>
      <c r="I503">
        <f>G503-H503</f>
        <v>2929.4</v>
      </c>
      <c r="J503">
        <v>18</v>
      </c>
      <c r="K503">
        <f>I503*J503</f>
        <v>52729.200000000004</v>
      </c>
      <c r="L503">
        <f>F503*6</f>
        <v>312</v>
      </c>
      <c r="P503">
        <f>K503-L503+M503-N503-O503</f>
        <v>52417.200000000004</v>
      </c>
      <c r="R503">
        <f>G503/F503</f>
        <v>58.07692307692308</v>
      </c>
    </row>
    <row r="504">
      <c r="A504">
        <v>492</v>
      </c>
      <c r="B504" t="str">
        <v>28*01*2026</v>
      </c>
      <c r="C504" t="str">
        <v>CHANAPPA</v>
      </c>
      <c r="D504" t="str">
        <v>BEMURI</v>
      </c>
      <c r="E504">
        <v>9148493129</v>
      </c>
      <c r="F504">
        <v>190</v>
      </c>
      <c r="G504">
        <v>10910</v>
      </c>
      <c r="H504">
        <f>G504*3/100</f>
        <v>327.3</v>
      </c>
      <c r="I504">
        <f>G504-H504</f>
        <v>10582.7</v>
      </c>
      <c r="J504">
        <v>18.1</v>
      </c>
      <c r="K504">
        <f>I504*J504</f>
        <v>191546.87000000002</v>
      </c>
      <c r="L504">
        <f>F504*6</f>
        <v>1140</v>
      </c>
      <c r="P504">
        <f>K504-L504+M504-N504-O504</f>
        <v>190406.87000000002</v>
      </c>
      <c r="R504">
        <f>G504/F504</f>
        <v>57.421052631578945</v>
      </c>
    </row>
    <row r="505">
      <c r="A505">
        <v>493</v>
      </c>
      <c r="B505" t="str">
        <v>29*01*2026</v>
      </c>
      <c r="C505" t="str">
        <v>RAJAPPA</v>
      </c>
      <c r="D505" t="str">
        <v>KAMALAPURA</v>
      </c>
      <c r="E505">
        <v>9611881466</v>
      </c>
      <c r="F505">
        <v>122</v>
      </c>
      <c r="G505">
        <v>6990</v>
      </c>
      <c r="H505">
        <f>G505*3/100</f>
        <v>209.7</v>
      </c>
      <c r="I505">
        <f>G505-H505</f>
        <v>6780.3</v>
      </c>
      <c r="J505">
        <v>18</v>
      </c>
      <c r="K505">
        <f>I505*J505</f>
        <v>122045.40000000001</v>
      </c>
      <c r="L505">
        <f>F505*6</f>
        <v>732</v>
      </c>
      <c r="P505">
        <f>K505-L505+M505-N505-O505</f>
        <v>121313.40000000001</v>
      </c>
      <c r="R505">
        <f>G505/F505</f>
        <v>57.295081967213115</v>
      </c>
    </row>
    <row r="506">
      <c r="A506">
        <v>494</v>
      </c>
      <c r="B506" t="str">
        <v>29*01*2026</v>
      </c>
      <c r="C506" t="str">
        <v>RAGANNA</v>
      </c>
      <c r="D506" t="str">
        <v>KONAYAKAHALLI</v>
      </c>
      <c r="E506">
        <v>9844211709</v>
      </c>
      <c r="F506">
        <v>406</v>
      </c>
      <c r="G506">
        <v>23560</v>
      </c>
      <c r="H506">
        <f>G506*3/100</f>
        <v>706.8</v>
      </c>
      <c r="I506">
        <f>G506-H506</f>
        <v>22853.2</v>
      </c>
      <c r="J506">
        <v>18.5</v>
      </c>
      <c r="K506">
        <f>I506*J506</f>
        <v>422784.2</v>
      </c>
      <c r="L506">
        <f>F506*6</f>
        <v>2436</v>
      </c>
      <c r="P506">
        <f>K506-L506+M506-N506-O506</f>
        <v>420348.2</v>
      </c>
      <c r="R506">
        <f>G506/F506</f>
        <v>58.029556650246306</v>
      </c>
    </row>
    <row r="507">
      <c r="A507">
        <v>495</v>
      </c>
      <c r="B507" t="str">
        <v>29*01*2026</v>
      </c>
      <c r="C507" t="str">
        <v>BASAVARAJ</v>
      </c>
      <c r="D507" t="str">
        <v>GOPAHALLI</v>
      </c>
      <c r="E507">
        <v>9901695153</v>
      </c>
      <c r="F507">
        <v>128</v>
      </c>
      <c r="G507">
        <v>7450</v>
      </c>
      <c r="H507">
        <f>G507*3/100</f>
        <v>223.5</v>
      </c>
      <c r="I507">
        <f>G507-H507</f>
        <v>7226.5</v>
      </c>
      <c r="J507">
        <v>18.1</v>
      </c>
      <c r="K507">
        <f>I507*J507</f>
        <v>130799.65000000001</v>
      </c>
      <c r="L507">
        <f>F507*6</f>
        <v>768</v>
      </c>
      <c r="P507">
        <f>K507-L507+M507-N507-O507</f>
        <v>130031.65000000001</v>
      </c>
      <c r="R507">
        <f>G507/F507</f>
        <v>58.203125</v>
      </c>
    </row>
    <row r="508">
      <c r="A508">
        <v>496</v>
      </c>
      <c r="B508" t="str">
        <v>29*01*2026</v>
      </c>
      <c r="C508" t="str">
        <v>SHAKARAMMA</v>
      </c>
      <c r="D508" t="str">
        <v>GOPAHALLI</v>
      </c>
      <c r="E508">
        <v>99010933150</v>
      </c>
      <c r="F508">
        <v>61</v>
      </c>
      <c r="G508">
        <v>3430</v>
      </c>
      <c r="H508">
        <f>G508*3/100</f>
        <v>102.9</v>
      </c>
      <c r="I508">
        <f>G508-H508</f>
        <v>3327.1</v>
      </c>
      <c r="J508">
        <v>18</v>
      </c>
      <c r="K508">
        <f>I508*J508</f>
        <v>59887.799999999996</v>
      </c>
      <c r="L508">
        <f>F508*6</f>
        <v>366</v>
      </c>
      <c r="P508">
        <f>K508-L508+M508-N508-O508</f>
        <v>59521.799999999996</v>
      </c>
      <c r="R508">
        <f>G508/F508</f>
        <v>56.22950819672131</v>
      </c>
    </row>
    <row r="509">
      <c r="A509">
        <v>497</v>
      </c>
      <c r="B509" t="str">
        <v>29*01*2026</v>
      </c>
      <c r="C509" t="str">
        <v>ANIL</v>
      </c>
      <c r="D509" t="str">
        <v>HONNALI</v>
      </c>
      <c r="E509">
        <v>9036615833</v>
      </c>
      <c r="F509">
        <v>78</v>
      </c>
      <c r="G509">
        <v>4390</v>
      </c>
      <c r="H509">
        <f>G509*3/100</f>
        <v>131.7</v>
      </c>
      <c r="I509">
        <f>G509-H509</f>
        <v>4258.3</v>
      </c>
      <c r="J509">
        <v>18.7</v>
      </c>
      <c r="K509">
        <f>I509*J509</f>
        <v>79630.21</v>
      </c>
      <c r="L509">
        <f>F509*6</f>
        <v>468</v>
      </c>
      <c r="P509">
        <f>K509-L509+M509-N509-O509</f>
        <v>79162.21</v>
      </c>
      <c r="R509">
        <f>G509/F509</f>
        <v>56.282051282051285</v>
      </c>
    </row>
    <row r="510">
      <c r="A510">
        <v>498</v>
      </c>
      <c r="B510" t="str">
        <v>29*01*2026</v>
      </c>
      <c r="C510" t="str">
        <v>D K KADURAPPA</v>
      </c>
      <c r="D510" t="str">
        <v>HARHALLI</v>
      </c>
      <c r="E510">
        <v>9900853755</v>
      </c>
      <c r="F510">
        <v>117</v>
      </c>
      <c r="G510">
        <v>6780</v>
      </c>
      <c r="H510">
        <f>G510*3/100</f>
        <v>203.4</v>
      </c>
      <c r="I510">
        <f>G510-H510</f>
        <v>6576.6</v>
      </c>
      <c r="J510">
        <v>18.5</v>
      </c>
      <c r="K510">
        <f>I510*J510</f>
        <v>121667.1</v>
      </c>
      <c r="L510">
        <f>F510*6</f>
        <v>702</v>
      </c>
      <c r="P510">
        <f>K510-L510+M510-N510-O510</f>
        <v>120965.1</v>
      </c>
      <c r="R510">
        <f>G510/F510</f>
        <v>57.94871794871795</v>
      </c>
    </row>
    <row r="511">
      <c r="A511">
        <v>499</v>
      </c>
      <c r="B511" t="str">
        <v>29*01*2026</v>
      </c>
      <c r="C511" t="str">
        <v>PRASANA</v>
      </c>
      <c r="D511" t="str">
        <v>CHIKEHALLI</v>
      </c>
      <c r="E511">
        <v>9900542434</v>
      </c>
      <c r="F511">
        <v>27</v>
      </c>
      <c r="G511">
        <v>1670</v>
      </c>
      <c r="H511">
        <f>G511*3/100</f>
        <v>50.1</v>
      </c>
      <c r="I511">
        <f>G511-H511</f>
        <v>1619.9</v>
      </c>
      <c r="J511">
        <v>18.5</v>
      </c>
      <c r="K511">
        <f>I511*J511</f>
        <v>29968.15</v>
      </c>
      <c r="L511">
        <f>F511*6</f>
        <v>162</v>
      </c>
      <c r="P511">
        <f>K511-L511+M511-N511-O511</f>
        <v>29806.15</v>
      </c>
      <c r="R511">
        <f>G511/F511</f>
        <v>61.851851851851855</v>
      </c>
    </row>
    <row r="512">
      <c r="A512">
        <v>500</v>
      </c>
      <c r="B512" t="str">
        <v>29*01*2026</v>
      </c>
      <c r="C512" t="str">
        <v>HANUMANTHA</v>
      </c>
      <c r="D512" t="str">
        <v>CHIKGONIGARE</v>
      </c>
      <c r="E512">
        <v>8105331702</v>
      </c>
      <c r="F512">
        <v>136</v>
      </c>
      <c r="G512">
        <v>7870</v>
      </c>
      <c r="H512">
        <f>G512*3/100</f>
        <v>236.1</v>
      </c>
      <c r="I512">
        <f>G512-H512</f>
        <v>7633.9</v>
      </c>
      <c r="J512">
        <v>18.1</v>
      </c>
      <c r="K512">
        <f>I512*J512</f>
        <v>138173.59</v>
      </c>
      <c r="L512">
        <f>F512*6</f>
        <v>816</v>
      </c>
      <c r="P512">
        <f>K512-L512+M512-N512-O512</f>
        <v>137357.59</v>
      </c>
      <c r="R512">
        <f>G512/F512</f>
        <v>57.86764705882353</v>
      </c>
    </row>
    <row r="513">
      <c r="A513">
        <v>501</v>
      </c>
      <c r="B513" t="str">
        <v>29*01*2026</v>
      </c>
      <c r="C513" t="str">
        <v>NAVEEN</v>
      </c>
      <c r="D513" t="str">
        <v>BALMURI</v>
      </c>
      <c r="E513">
        <v>8105501523</v>
      </c>
      <c r="F513">
        <v>152</v>
      </c>
      <c r="G513">
        <v>8980</v>
      </c>
      <c r="H513">
        <f>G513*3/100</f>
        <v>269.4</v>
      </c>
      <c r="I513">
        <f>G513-H513</f>
        <v>8710.6</v>
      </c>
      <c r="J513">
        <v>18.1</v>
      </c>
      <c r="K513">
        <f>I513*J513</f>
        <v>157661.86000000002</v>
      </c>
      <c r="L513">
        <f>F513*6</f>
        <v>912</v>
      </c>
      <c r="P513">
        <f>K513-L513+M513-N513-O513</f>
        <v>156749.86000000002</v>
      </c>
      <c r="R513">
        <f>G513/F513</f>
        <v>59.078947368421055</v>
      </c>
    </row>
    <row r="514">
      <c r="A514">
        <v>502</v>
      </c>
      <c r="B514" t="str">
        <v>30*01*2026</v>
      </c>
      <c r="C514" t="str">
        <v>KUMAR</v>
      </c>
      <c r="D514" t="str">
        <v>HANUMASAGARA</v>
      </c>
      <c r="E514">
        <v>9108777591</v>
      </c>
      <c r="F514">
        <v>34</v>
      </c>
      <c r="G514">
        <v>1900</v>
      </c>
      <c r="H514">
        <f>G514*3/100</f>
        <v>57</v>
      </c>
      <c r="I514">
        <f>G514-H514</f>
        <v>1843</v>
      </c>
      <c r="J514">
        <v>18.1</v>
      </c>
      <c r="K514">
        <f>I514*J514</f>
        <v>33358.3</v>
      </c>
      <c r="L514">
        <f>F514*6</f>
        <v>204</v>
      </c>
      <c r="P514">
        <f>K514-L514+M514-N514-O514</f>
        <v>33154.3</v>
      </c>
      <c r="R514">
        <f>G514/F514</f>
        <v>55.88235294117647</v>
      </c>
    </row>
    <row r="515">
      <c r="A515">
        <v>503</v>
      </c>
      <c r="B515" t="str">
        <v>30*01*2026</v>
      </c>
      <c r="C515" t="str">
        <v>BASAVARAJ</v>
      </c>
      <c r="D515" t="str">
        <v>HANUMASAGARA</v>
      </c>
      <c r="E515">
        <v>9108777591</v>
      </c>
      <c r="F515">
        <v>14</v>
      </c>
      <c r="G515">
        <v>750</v>
      </c>
      <c r="H515">
        <f>G515*3/100</f>
        <v>22.5</v>
      </c>
      <c r="I515">
        <f>G515-H515</f>
        <v>727.5</v>
      </c>
      <c r="J515">
        <v>18.1</v>
      </c>
      <c r="K515">
        <f>I515*J515</f>
        <v>13167.750000000002</v>
      </c>
      <c r="L515">
        <f>F515*6</f>
        <v>84</v>
      </c>
      <c r="P515">
        <f>K515-L515+M515-N515-O515</f>
        <v>13083.750000000002</v>
      </c>
      <c r="R515">
        <f>G515/F515</f>
        <v>53.57142857142857</v>
      </c>
    </row>
    <row r="516">
      <c r="A516">
        <v>504</v>
      </c>
      <c r="B516" t="str">
        <v>30*01*2026</v>
      </c>
      <c r="C516" t="str">
        <v>HALESH</v>
      </c>
      <c r="D516" t="str">
        <v>SIGATAGERE</v>
      </c>
      <c r="E516">
        <v>9945611957</v>
      </c>
      <c r="F516">
        <v>138</v>
      </c>
      <c r="G516">
        <v>7950</v>
      </c>
      <c r="H516">
        <f>G516*3/100</f>
        <v>238.5</v>
      </c>
      <c r="I516">
        <f>G516-H516</f>
        <v>7711.5</v>
      </c>
      <c r="J516">
        <v>18.1</v>
      </c>
      <c r="K516">
        <f>I516*J516</f>
        <v>139578.15000000002</v>
      </c>
      <c r="L516">
        <f>F516*6</f>
        <v>828</v>
      </c>
      <c r="P516">
        <f>K516-L516+M516-N516-O516</f>
        <v>138750.15000000002</v>
      </c>
      <c r="R516">
        <f>G516/F516</f>
        <v>57.608695652173914</v>
      </c>
    </row>
    <row r="517">
      <c r="A517">
        <v>505</v>
      </c>
      <c r="B517" t="str">
        <v>30*01*2026</v>
      </c>
      <c r="C517" t="str">
        <v>ABISHEAK</v>
      </c>
      <c r="D517" t="str">
        <v>KADADKATTE</v>
      </c>
      <c r="E517">
        <v>9742395198</v>
      </c>
      <c r="F517">
        <v>57</v>
      </c>
      <c r="G517">
        <v>3250</v>
      </c>
      <c r="H517">
        <f>G517*3/100</f>
        <v>97.5</v>
      </c>
      <c r="I517">
        <f>G517-H517</f>
        <v>3152.5</v>
      </c>
      <c r="J517">
        <v>18.5</v>
      </c>
      <c r="K517">
        <f>I517*J517</f>
        <v>58321.25</v>
      </c>
      <c r="L517">
        <f>F517*6</f>
        <v>342</v>
      </c>
      <c r="P517">
        <f>K517-L517+M517-N517-O517</f>
        <v>57979.25</v>
      </c>
      <c r="R517">
        <f>G517/F517</f>
        <v>57.01754385964912</v>
      </c>
    </row>
    <row r="518">
      <c r="A518">
        <v>506</v>
      </c>
      <c r="B518" t="str">
        <v>31*01*2026</v>
      </c>
      <c r="C518" t="str">
        <v>ULLAS</v>
      </c>
      <c r="D518" t="str">
        <v>BELEMALUR</v>
      </c>
      <c r="E518">
        <v>98444875453</v>
      </c>
      <c r="F518">
        <v>141</v>
      </c>
      <c r="G518">
        <v>8530</v>
      </c>
      <c r="H518">
        <f>G518*3/100</f>
        <v>255.9</v>
      </c>
      <c r="I518">
        <f>G518-H518</f>
        <v>8274.1</v>
      </c>
      <c r="J518">
        <v>18.2</v>
      </c>
      <c r="K518">
        <f>I518*J518</f>
        <v>150588.62</v>
      </c>
      <c r="L518">
        <f>F518*6</f>
        <v>846</v>
      </c>
      <c r="P518">
        <f>K518-L518+M518-N518-O518</f>
        <v>149742.62</v>
      </c>
      <c r="R518">
        <f>G518/F518</f>
        <v>60.49645390070922</v>
      </c>
    </row>
    <row r="519">
      <c r="A519">
        <v>507</v>
      </c>
      <c r="B519" t="str">
        <v>31*01*2026</v>
      </c>
      <c r="C519" t="str">
        <v>MC KUMAR</v>
      </c>
      <c r="D519" t="str">
        <v>GORAHALLI</v>
      </c>
      <c r="E519">
        <v>9008251186</v>
      </c>
      <c r="F519">
        <v>108</v>
      </c>
      <c r="G519">
        <v>6300</v>
      </c>
      <c r="H519">
        <f>G519*3/100</f>
        <v>189</v>
      </c>
      <c r="I519">
        <f>G519-H519</f>
        <v>6111</v>
      </c>
      <c r="J519">
        <v>18.1</v>
      </c>
      <c r="K519">
        <f>I519*J519</f>
        <v>110609.1</v>
      </c>
      <c r="L519">
        <f>F519*6</f>
        <v>648</v>
      </c>
      <c r="P519">
        <f>K519-L519+M519-N519-O519</f>
        <v>109961.1</v>
      </c>
      <c r="R519">
        <f>G519/F519</f>
        <v>58.333333333333336</v>
      </c>
    </row>
    <row r="520">
      <c r="A520">
        <v>508</v>
      </c>
      <c r="B520" t="str">
        <v>31*01*2026</v>
      </c>
      <c r="C520" t="str">
        <v>ABDUL SATHS SAB</v>
      </c>
      <c r="D520" t="str">
        <v>BEVINAHALLI</v>
      </c>
      <c r="E520">
        <v>8971250190</v>
      </c>
      <c r="F520">
        <v>303</v>
      </c>
      <c r="G520">
        <v>17660</v>
      </c>
      <c r="H520">
        <f>G520*3/100</f>
        <v>529.8</v>
      </c>
      <c r="I520">
        <f>G520-H520</f>
        <v>17130.2</v>
      </c>
      <c r="J520">
        <v>18.2</v>
      </c>
      <c r="K520">
        <f>I520*J520</f>
        <v>311769.64</v>
      </c>
      <c r="L520">
        <f>F520*6</f>
        <v>1818</v>
      </c>
      <c r="P520">
        <f>K520-L520+M520-N520-O520</f>
        <v>309951.64</v>
      </c>
      <c r="R520">
        <f>G520/F520</f>
        <v>58.28382838283829</v>
      </c>
    </row>
    <row r="521">
      <c r="A521">
        <v>509</v>
      </c>
      <c r="B521" t="str">
        <v>31*01*2026</v>
      </c>
      <c r="C521" t="str">
        <v>SHEKAHAMAD SAB</v>
      </c>
      <c r="D521" t="str">
        <v>BEVINAHALLI</v>
      </c>
      <c r="E521">
        <v>9900369426</v>
      </c>
      <c r="F521">
        <v>84</v>
      </c>
      <c r="G521">
        <v>4760</v>
      </c>
      <c r="H521">
        <f>G521*3/100</f>
        <v>142.8</v>
      </c>
      <c r="I521">
        <f>G521-H521</f>
        <v>4617.2</v>
      </c>
      <c r="J521">
        <v>18.2</v>
      </c>
      <c r="K521">
        <f>I521*J521</f>
        <v>84033.04</v>
      </c>
      <c r="L521">
        <f>F521*6</f>
        <v>504</v>
      </c>
      <c r="P521">
        <f>K521-L521+M521-N521-O521</f>
        <v>83529.04</v>
      </c>
      <c r="R521">
        <f>G521/F521</f>
        <v>56.666666666666664</v>
      </c>
    </row>
    <row r="522">
      <c r="A522">
        <v>510</v>
      </c>
      <c r="B522" t="str">
        <v>01*02*2026</v>
      </c>
      <c r="C522" t="str">
        <v>PALAKSHAPPA</v>
      </c>
      <c r="D522" t="str">
        <v>ATURU</v>
      </c>
      <c r="E522">
        <v>6364028082</v>
      </c>
      <c r="F522">
        <v>214</v>
      </c>
      <c r="G522">
        <v>12210</v>
      </c>
      <c r="H522">
        <f>G522*3/100</f>
        <v>366.3</v>
      </c>
      <c r="I522">
        <f>G522-H522</f>
        <v>11843.7</v>
      </c>
      <c r="J522">
        <v>18.1</v>
      </c>
      <c r="K522">
        <f>I522*J522</f>
        <v>214370.97000000003</v>
      </c>
      <c r="L522">
        <f>F522*6</f>
        <v>1284</v>
      </c>
      <c r="P522">
        <f>K522-L522+M522-N522-O522</f>
        <v>213086.97000000003</v>
      </c>
      <c r="R522">
        <f>G522/F522</f>
        <v>57.05607476635514</v>
      </c>
    </row>
    <row r="523">
      <c r="A523">
        <v>511</v>
      </c>
      <c r="B523" t="str">
        <v>01*02*2026</v>
      </c>
      <c r="C523" t="str">
        <v>MANJAPPA</v>
      </c>
      <c r="D523" t="str">
        <v>GOPAHALLI</v>
      </c>
      <c r="E523">
        <v>8111968067</v>
      </c>
      <c r="F523">
        <v>62</v>
      </c>
      <c r="G523">
        <v>3530</v>
      </c>
      <c r="H523">
        <f>G523*3/100</f>
        <v>105.9</v>
      </c>
      <c r="I523">
        <f>G523-H523</f>
        <v>3424.1</v>
      </c>
      <c r="J523">
        <v>18.1</v>
      </c>
      <c r="K523">
        <f>I523*J523</f>
        <v>61976.21000000001</v>
      </c>
      <c r="L523">
        <f>F523*6</f>
        <v>372</v>
      </c>
      <c r="P523">
        <f>K523-L523+M523-N523-O523</f>
        <v>61604.21000000001</v>
      </c>
      <c r="R523">
        <f>G523/F523</f>
        <v>56.935483870967744</v>
      </c>
    </row>
    <row r="524">
      <c r="A524">
        <v>512</v>
      </c>
      <c r="B524" t="str">
        <v>01*02*2026</v>
      </c>
      <c r="C524" t="str">
        <v>P MAHESHAPPA</v>
      </c>
      <c r="D524" t="str">
        <v>MASDI</v>
      </c>
      <c r="E524">
        <v>8970115844</v>
      </c>
      <c r="F524">
        <v>51</v>
      </c>
      <c r="G524">
        <v>2940</v>
      </c>
      <c r="H524">
        <f>G524*3/100</f>
        <v>88.2</v>
      </c>
      <c r="I524">
        <f>G524-H524</f>
        <v>2851.8</v>
      </c>
      <c r="J524">
        <v>18.1</v>
      </c>
      <c r="K524">
        <f>I524*J524</f>
        <v>51617.58000000001</v>
      </c>
      <c r="L524">
        <f>F524*6</f>
        <v>306</v>
      </c>
      <c r="P524">
        <f>K524-L524+M524-N524-O524</f>
        <v>51311.58000000001</v>
      </c>
      <c r="R524">
        <f>G524/F524</f>
        <v>57.64705882352941</v>
      </c>
    </row>
    <row r="525">
      <c r="A525">
        <v>513</v>
      </c>
      <c r="B525" t="str">
        <v>01*02*2026</v>
      </c>
      <c r="C525" t="str">
        <v>KUBERAPPA</v>
      </c>
      <c r="D525" t="str">
        <v>THARHALLI</v>
      </c>
      <c r="E525">
        <v>7653607371</v>
      </c>
      <c r="F525">
        <v>112</v>
      </c>
      <c r="G525">
        <v>6320</v>
      </c>
      <c r="H525">
        <f>G525*3/100</f>
        <v>189.6</v>
      </c>
      <c r="I525">
        <f>G525-H525</f>
        <v>6130.4</v>
      </c>
      <c r="J525">
        <v>18.1</v>
      </c>
      <c r="K525">
        <f>I525*J525</f>
        <v>110960.24</v>
      </c>
      <c r="L525">
        <f>F525*6</f>
        <v>672</v>
      </c>
      <c r="P525">
        <f>K525-L525+M525-N525-O525</f>
        <v>110288.24</v>
      </c>
      <c r="R525">
        <f>G525/F525</f>
        <v>56.42857142857143</v>
      </c>
    </row>
    <row r="526">
      <c r="A526">
        <v>514</v>
      </c>
      <c r="B526" t="str">
        <v>02*02*2026</v>
      </c>
      <c r="C526" t="str">
        <v>SHIVARAJ M C</v>
      </c>
      <c r="D526" t="str">
        <v>S MALAPURA</v>
      </c>
      <c r="E526">
        <v>8971704643</v>
      </c>
      <c r="F526">
        <v>71</v>
      </c>
      <c r="G526">
        <v>4040</v>
      </c>
      <c r="H526">
        <f>G526*3/100</f>
        <v>121.2</v>
      </c>
      <c r="I526">
        <f>G526-H526</f>
        <v>3918.8</v>
      </c>
      <c r="J526">
        <v>18</v>
      </c>
      <c r="K526">
        <f>I526*J526</f>
        <v>70538.40000000001</v>
      </c>
      <c r="L526">
        <f>F526*6</f>
        <v>426</v>
      </c>
      <c r="P526">
        <f>K526-L526+M526-N526-O526</f>
        <v>70112.40000000001</v>
      </c>
      <c r="R526">
        <f>G526/F526</f>
        <v>56.901408450704224</v>
      </c>
    </row>
    <row r="527">
      <c r="A527">
        <v>515</v>
      </c>
      <c r="B527" t="str">
        <v>02*02*2026</v>
      </c>
      <c r="C527" t="str">
        <v>NAVEEN</v>
      </c>
      <c r="D527" t="str">
        <v>S MALAPURA</v>
      </c>
      <c r="E527">
        <v>9538639325</v>
      </c>
      <c r="F527">
        <v>21</v>
      </c>
      <c r="G527">
        <v>1230</v>
      </c>
      <c r="H527">
        <f>G527*3/100</f>
        <v>36.9</v>
      </c>
      <c r="I527">
        <f>G527-H527</f>
        <v>1193.1</v>
      </c>
      <c r="J527">
        <v>18</v>
      </c>
      <c r="K527">
        <f>I527*J527</f>
        <v>21475.8</v>
      </c>
      <c r="L527">
        <f>F527*6</f>
        <v>126</v>
      </c>
      <c r="P527">
        <f>K527-L527+M527-N527-O527</f>
        <v>21349.8</v>
      </c>
      <c r="R527">
        <f>G527/F527</f>
        <v>58.57142857142857</v>
      </c>
    </row>
    <row r="528">
      <c r="A528">
        <v>516</v>
      </c>
      <c r="B528" t="str">
        <v>02*02*2026</v>
      </c>
      <c r="C528" t="str">
        <v>KARIYAPPA</v>
      </c>
      <c r="D528" t="str">
        <v>KABBAR</v>
      </c>
      <c r="E528">
        <v>8105032611</v>
      </c>
      <c r="F528">
        <v>130</v>
      </c>
      <c r="G528">
        <v>7400</v>
      </c>
      <c r="H528">
        <f>G528*3/100</f>
        <v>222</v>
      </c>
      <c r="I528">
        <f>G528-H528</f>
        <v>7178</v>
      </c>
      <c r="J528">
        <v>18</v>
      </c>
      <c r="K528">
        <f>I528*J528</f>
        <v>129204</v>
      </c>
      <c r="L528">
        <f>F528*6</f>
        <v>780</v>
      </c>
      <c r="P528">
        <f>K528-L528+M528-N528-O528</f>
        <v>128424</v>
      </c>
      <c r="R528">
        <f>G528/F528</f>
        <v>56.92307692307692</v>
      </c>
    </row>
    <row r="529">
      <c r="A529">
        <v>517</v>
      </c>
      <c r="B529" t="str">
        <v>02*02*2026</v>
      </c>
      <c r="C529" t="str">
        <v>KABBARAPPA</v>
      </c>
      <c r="D529" t="str">
        <v>KABBAR</v>
      </c>
      <c r="E529">
        <v>7022656796</v>
      </c>
      <c r="F529">
        <v>87</v>
      </c>
      <c r="G529">
        <v>5160</v>
      </c>
      <c r="H529">
        <f>G529*3/100</f>
        <v>154.8</v>
      </c>
      <c r="I529">
        <f>G529-H529</f>
        <v>5005.2</v>
      </c>
      <c r="J529">
        <v>18</v>
      </c>
      <c r="K529">
        <f>I529*J529</f>
        <v>90093.59999999999</v>
      </c>
      <c r="L529">
        <f>F529*6</f>
        <v>522</v>
      </c>
      <c r="P529">
        <f>K529-L529+M529-N529-O529</f>
        <v>89571.59999999999</v>
      </c>
      <c r="R529">
        <f>G529/F529</f>
        <v>59.310344827586206</v>
      </c>
    </row>
    <row r="530">
      <c r="A530">
        <v>518</v>
      </c>
      <c r="B530" t="str">
        <v>02*02*2026</v>
      </c>
      <c r="C530" t="str">
        <v>RAMANGOWDA</v>
      </c>
      <c r="D530" t="str">
        <v>KABBAR</v>
      </c>
      <c r="E530">
        <v>8884364425</v>
      </c>
      <c r="F530">
        <v>105</v>
      </c>
      <c r="G530">
        <v>6090</v>
      </c>
      <c r="H530">
        <f>G530*3/100</f>
        <v>182.7</v>
      </c>
      <c r="I530">
        <f>G530-H530</f>
        <v>5907.3</v>
      </c>
      <c r="J530">
        <v>18</v>
      </c>
      <c r="K530">
        <f>I530*J530</f>
        <v>106331.40000000001</v>
      </c>
      <c r="L530">
        <f>F530*6</f>
        <v>630</v>
      </c>
      <c r="P530">
        <f>K530-L530+M530-N530-O530</f>
        <v>105701.40000000001</v>
      </c>
      <c r="R530">
        <f>G530/F530</f>
        <v>58</v>
      </c>
    </row>
    <row r="531">
      <c r="A531">
        <v>519</v>
      </c>
      <c r="B531" t="str">
        <v>02*02*2026</v>
      </c>
      <c r="C531" t="str">
        <v>MALESHAPPA</v>
      </c>
      <c r="D531" t="str">
        <v>THIMALAPURA</v>
      </c>
      <c r="E531">
        <v>9008543728</v>
      </c>
      <c r="F531">
        <v>36</v>
      </c>
      <c r="G531">
        <v>2140</v>
      </c>
      <c r="H531">
        <f>G531*3/100</f>
        <v>64.2</v>
      </c>
      <c r="I531">
        <f>G531-H531</f>
        <v>2075.8</v>
      </c>
      <c r="J531">
        <v>18</v>
      </c>
      <c r="K531">
        <f>I531*J531</f>
        <v>37364.4</v>
      </c>
      <c r="L531">
        <f>F531*6</f>
        <v>216</v>
      </c>
      <c r="P531">
        <f>K531-L531+M531-N531-O531</f>
        <v>37148.4</v>
      </c>
      <c r="R531">
        <f>G531/F531</f>
        <v>59.44444444444444</v>
      </c>
    </row>
    <row r="532">
      <c r="A532">
        <v>520</v>
      </c>
      <c r="B532" t="str">
        <v>02*02*2026</v>
      </c>
      <c r="C532" t="str">
        <v>ANJANEYA</v>
      </c>
      <c r="D532" t="str">
        <v>THIMALAPURA</v>
      </c>
      <c r="E532">
        <v>7026221305</v>
      </c>
      <c r="F532">
        <v>29</v>
      </c>
      <c r="G532">
        <v>1720</v>
      </c>
      <c r="H532">
        <f>G532*3/100</f>
        <v>51.6</v>
      </c>
      <c r="I532">
        <f>G532-H532</f>
        <v>1668.4</v>
      </c>
      <c r="J532">
        <v>18</v>
      </c>
      <c r="K532">
        <f>I532*J532</f>
        <v>30031.2</v>
      </c>
      <c r="L532">
        <f>F532*6</f>
        <v>174</v>
      </c>
      <c r="P532">
        <f>K532-L532+M532-N532-O532</f>
        <v>29857.2</v>
      </c>
      <c r="R532">
        <f>G532/F532</f>
        <v>59.310344827586206</v>
      </c>
    </row>
    <row r="533">
      <c r="A533">
        <v>521</v>
      </c>
      <c r="B533" t="str">
        <v>03*02*2026</v>
      </c>
      <c r="C533" t="str">
        <v>RAVI</v>
      </c>
      <c r="D533" t="str">
        <v>BALMURI</v>
      </c>
      <c r="E533">
        <v>8147373876</v>
      </c>
      <c r="F533">
        <v>136</v>
      </c>
      <c r="G533">
        <v>7750</v>
      </c>
      <c r="H533">
        <f>G533*3/100</f>
        <v>232.5</v>
      </c>
      <c r="I533">
        <f>G533-H533</f>
        <v>7517.5</v>
      </c>
      <c r="J533">
        <v>18.4</v>
      </c>
      <c r="K533">
        <f>I533*J533</f>
        <v>138322</v>
      </c>
      <c r="L533">
        <f>F533*6</f>
        <v>816</v>
      </c>
      <c r="P533">
        <f>K533-L533+M533-N533-O533</f>
        <v>137506</v>
      </c>
      <c r="R533">
        <f>G533/F533</f>
        <v>56.98529411764706</v>
      </c>
    </row>
    <row r="534">
      <c r="A534">
        <v>522</v>
      </c>
      <c r="B534" t="str">
        <v>03*02*2026</v>
      </c>
      <c r="C534" t="str">
        <v>VASANTHA</v>
      </c>
      <c r="D534" t="str">
        <v>THIMALAPURA</v>
      </c>
      <c r="E534">
        <v>7019719921</v>
      </c>
      <c r="F534">
        <v>85</v>
      </c>
      <c r="G534">
        <v>4780</v>
      </c>
      <c r="H534">
        <f>G534*3/100</f>
        <v>143.4</v>
      </c>
      <c r="I534">
        <f>G534-H534</f>
        <v>4636.6</v>
      </c>
      <c r="J534">
        <v>18</v>
      </c>
      <c r="K534">
        <f>I534*J534</f>
        <v>83458.8</v>
      </c>
      <c r="L534">
        <f>F534*6</f>
        <v>510</v>
      </c>
      <c r="P534">
        <f>K534-L534+M534-N534-O534</f>
        <v>82948.8</v>
      </c>
      <c r="R534">
        <f>G534/F534</f>
        <v>56.23529411764706</v>
      </c>
    </row>
    <row r="535">
      <c r="A535">
        <v>523</v>
      </c>
      <c r="B535" t="str">
        <v>03*02*2026</v>
      </c>
      <c r="C535" t="str">
        <v>DARSHANA</v>
      </c>
      <c r="D535" t="str">
        <v>THIMALAPURA</v>
      </c>
      <c r="E535">
        <v>8431066330</v>
      </c>
      <c r="F535">
        <v>116</v>
      </c>
      <c r="G535">
        <v>6570</v>
      </c>
      <c r="H535">
        <f>G535*3/100</f>
        <v>197.1</v>
      </c>
      <c r="I535">
        <f>G535-H535</f>
        <v>6372.9</v>
      </c>
      <c r="J535">
        <v>18</v>
      </c>
      <c r="K535">
        <f>I535*J535</f>
        <v>114712.2</v>
      </c>
      <c r="L535">
        <f>F535*6</f>
        <v>696</v>
      </c>
      <c r="P535">
        <f>K535-L535+M535-N535-O535</f>
        <v>114016.2</v>
      </c>
      <c r="R535">
        <f>G535/F535</f>
        <v>56.63793103448276</v>
      </c>
    </row>
    <row r="536">
      <c r="A536">
        <v>524</v>
      </c>
      <c r="B536" t="str">
        <v>03*02*2026</v>
      </c>
      <c r="C536" t="str">
        <v>RAVI PRAKASHA</v>
      </c>
      <c r="D536" t="str">
        <v>THIMALAPURA</v>
      </c>
      <c r="E536">
        <v>7019758651</v>
      </c>
      <c r="F536">
        <v>66</v>
      </c>
      <c r="G536">
        <v>3780</v>
      </c>
      <c r="H536">
        <f>G536*3/100</f>
        <v>113.4</v>
      </c>
      <c r="I536">
        <f>G536-H536</f>
        <v>3666.6</v>
      </c>
      <c r="J536">
        <v>18</v>
      </c>
      <c r="K536">
        <f>I536*J536</f>
        <v>65998.8</v>
      </c>
      <c r="L536">
        <f>F536*6</f>
        <v>396</v>
      </c>
      <c r="P536">
        <f>K536-L536+M536-N536-O536</f>
        <v>65602.8</v>
      </c>
      <c r="R536">
        <f>G536/F536</f>
        <v>57.27272727272727</v>
      </c>
    </row>
    <row r="537">
      <c r="A537">
        <v>525</v>
      </c>
      <c r="B537" t="str">
        <v>03*02*2026</v>
      </c>
      <c r="C537" t="str">
        <v>HUNAMTHAPPA</v>
      </c>
      <c r="D537" t="str">
        <v>NARSAHALLI</v>
      </c>
      <c r="E537">
        <v>8073645340</v>
      </c>
      <c r="F537">
        <v>123</v>
      </c>
      <c r="G537">
        <v>7010</v>
      </c>
      <c r="H537">
        <f>G537*3/100</f>
        <v>210.3</v>
      </c>
      <c r="I537">
        <f>G537-H537</f>
        <v>6799.7</v>
      </c>
      <c r="J537">
        <v>18.1</v>
      </c>
      <c r="K537">
        <f>I537*J537</f>
        <v>123074.57</v>
      </c>
      <c r="L537">
        <f>F537*6</f>
        <v>738</v>
      </c>
      <c r="P537">
        <f>K537-L537+M537-N537-O537</f>
        <v>122336.57</v>
      </c>
      <c r="R537">
        <f>G537/F537</f>
        <v>56.99186991869919</v>
      </c>
    </row>
    <row r="538">
      <c r="A538">
        <v>526</v>
      </c>
      <c r="B538" t="str">
        <v>03*02*2026</v>
      </c>
      <c r="C538" t="str">
        <v>BASAVARAJ</v>
      </c>
      <c r="D538" t="str">
        <v>BALMURI</v>
      </c>
      <c r="E538">
        <v>9591419651</v>
      </c>
      <c r="F538">
        <v>117</v>
      </c>
      <c r="G538">
        <v>6780</v>
      </c>
      <c r="H538">
        <f>G538*3/100</f>
        <v>203.4</v>
      </c>
      <c r="I538">
        <f>G538-H538</f>
        <v>6576.6</v>
      </c>
      <c r="J538">
        <v>18</v>
      </c>
      <c r="K538">
        <f>I538*J538</f>
        <v>118378.8</v>
      </c>
      <c r="L538">
        <f>F538*6</f>
        <v>702</v>
      </c>
      <c r="P538">
        <f>K538-L538+M538-N538-O538</f>
        <v>117676.8</v>
      </c>
      <c r="R538">
        <f>G538/F538</f>
        <v>57.94871794871795</v>
      </c>
    </row>
    <row r="539">
      <c r="A539">
        <v>527</v>
      </c>
      <c r="B539" t="str">
        <v>03*02*2026</v>
      </c>
      <c r="C539" t="str">
        <v>SUBASH</v>
      </c>
      <c r="D539" t="str">
        <v>BALMURI</v>
      </c>
      <c r="E539">
        <v>9591419651</v>
      </c>
      <c r="F539">
        <v>15</v>
      </c>
      <c r="G539">
        <v>910</v>
      </c>
      <c r="H539">
        <f>G539*3/100</f>
        <v>27.3</v>
      </c>
      <c r="I539">
        <f>G539-H539</f>
        <v>882.7</v>
      </c>
      <c r="J539">
        <v>17.8</v>
      </c>
      <c r="K539">
        <f>I539*J539</f>
        <v>15712.060000000001</v>
      </c>
      <c r="L539">
        <f>F539*6</f>
        <v>90</v>
      </c>
      <c r="P539">
        <f>K539-L539+M539-N539-O539</f>
        <v>15622.060000000001</v>
      </c>
      <c r="R539">
        <f>G539/F539</f>
        <v>60.666666666666664</v>
      </c>
    </row>
    <row r="540">
      <c r="A540">
        <v>528</v>
      </c>
      <c r="B540" t="str">
        <v>03*02*2026</v>
      </c>
      <c r="C540" t="str">
        <v>LANKESH SIR</v>
      </c>
      <c r="D540" t="str">
        <v>KADADKATTE</v>
      </c>
      <c r="E540">
        <v>9740685325</v>
      </c>
      <c r="F540">
        <v>105</v>
      </c>
      <c r="G540">
        <v>6220</v>
      </c>
      <c r="H540">
        <f>G540*3/100</f>
        <v>186.6</v>
      </c>
      <c r="I540">
        <f>G540-H540</f>
        <v>6033.4</v>
      </c>
      <c r="J540">
        <v>17.5</v>
      </c>
      <c r="K540">
        <f>I540*J540</f>
        <v>105584.5</v>
      </c>
      <c r="L540">
        <f>F540*6</f>
        <v>630</v>
      </c>
      <c r="P540">
        <f>K540-L540+M540-N540-O540</f>
        <v>104954.5</v>
      </c>
      <c r="R540">
        <f>G540/F540</f>
        <v>59.23809523809524</v>
      </c>
    </row>
    <row r="541">
      <c r="A541">
        <v>529</v>
      </c>
      <c r="B541" t="str">
        <v>04*02*2026</v>
      </c>
      <c r="C541" t="str">
        <v>HANUMANTHAPPA</v>
      </c>
      <c r="D541" t="str">
        <v>MASDI</v>
      </c>
      <c r="E541">
        <v>9916531986</v>
      </c>
      <c r="F541">
        <v>105</v>
      </c>
      <c r="G541">
        <v>2410</v>
      </c>
      <c r="H541">
        <f>G541*3/100</f>
        <v>72.3</v>
      </c>
      <c r="I541">
        <f>G541-H541</f>
        <v>2337.7</v>
      </c>
      <c r="J541">
        <v>17.5</v>
      </c>
      <c r="K541">
        <f>I541*J541</f>
        <v>40909.75</v>
      </c>
      <c r="L541">
        <f>F541*6</f>
        <v>630</v>
      </c>
      <c r="P541">
        <f>K541-L541+M541-N541-O541</f>
        <v>40279.75</v>
      </c>
      <c r="R541">
        <f>G541/F541</f>
        <v>22.952380952380953</v>
      </c>
    </row>
    <row r="542">
      <c r="A542">
        <v>530</v>
      </c>
      <c r="B542" t="str">
        <v>04*02*2026</v>
      </c>
      <c r="C542" t="str">
        <v>NAGARAJ</v>
      </c>
      <c r="D542" t="str">
        <v>BALAMURU</v>
      </c>
      <c r="E542">
        <v>9741443716</v>
      </c>
      <c r="F542">
        <v>43</v>
      </c>
      <c r="G542">
        <v>2580</v>
      </c>
      <c r="H542">
        <f>G542*3/100</f>
        <v>77.4</v>
      </c>
      <c r="I542">
        <f>G542-H542</f>
        <v>2502.6</v>
      </c>
      <c r="J542">
        <v>17.5</v>
      </c>
      <c r="K542">
        <f>I542*J542</f>
        <v>43795.5</v>
      </c>
      <c r="L542">
        <f>F542*6</f>
        <v>258</v>
      </c>
      <c r="P542">
        <f>K542-L542+M542-N542-O542</f>
        <v>43537.5</v>
      </c>
      <c r="R542">
        <f>G542/F542</f>
        <v>60</v>
      </c>
    </row>
    <row r="543">
      <c r="A543">
        <v>531</v>
      </c>
      <c r="B543" t="str">
        <v>04*02*2026</v>
      </c>
      <c r="C543" t="str">
        <v>CHANDRAPPA</v>
      </c>
      <c r="D543" t="str">
        <v>BALESHWARA</v>
      </c>
      <c r="E543">
        <v>9493017091</v>
      </c>
      <c r="F543">
        <v>117</v>
      </c>
      <c r="G543">
        <v>6660</v>
      </c>
      <c r="H543">
        <f>G543*3/100</f>
        <v>199.8</v>
      </c>
      <c r="I543">
        <f>G543-H543</f>
        <v>6460.2</v>
      </c>
      <c r="J543">
        <v>17.5</v>
      </c>
      <c r="K543">
        <f>I543*J543</f>
        <v>113053.5</v>
      </c>
      <c r="L543">
        <f>F543*6</f>
        <v>702</v>
      </c>
      <c r="P543">
        <f>K543-L543+M543-N543-O543</f>
        <v>112351.5</v>
      </c>
      <c r="R543">
        <f>G543/F543</f>
        <v>56.92307692307692</v>
      </c>
    </row>
    <row r="544">
      <c r="A544">
        <v>532</v>
      </c>
      <c r="B544" t="str">
        <v>04*02*2026</v>
      </c>
      <c r="C544" t="str">
        <v>MANJANNA</v>
      </c>
      <c r="D544" t="str">
        <v>HONNALI</v>
      </c>
      <c r="E544">
        <v>9741443716</v>
      </c>
      <c r="F544">
        <v>8</v>
      </c>
      <c r="G544">
        <v>460</v>
      </c>
      <c r="H544">
        <f>G544*3/100</f>
        <v>13.8</v>
      </c>
      <c r="I544">
        <f>G544-H544</f>
        <v>446.2</v>
      </c>
      <c r="J544">
        <v>17.5</v>
      </c>
      <c r="K544">
        <f>I544*J544</f>
        <v>7808.5</v>
      </c>
      <c r="L544">
        <f>F544*6</f>
        <v>48</v>
      </c>
      <c r="P544">
        <f>K544-L544+M544-N544-O544</f>
        <v>7760.5</v>
      </c>
      <c r="R544">
        <f>G544/F544</f>
        <v>57.5</v>
      </c>
    </row>
    <row r="545">
      <c r="A545">
        <v>533</v>
      </c>
      <c r="B545" t="str">
        <v>04*02*2026</v>
      </c>
      <c r="C545" t="str">
        <v>N SHANTHARAJ</v>
      </c>
      <c r="D545" t="str">
        <v>THARHALLI</v>
      </c>
      <c r="F545">
        <v>14</v>
      </c>
      <c r="G545">
        <v>840</v>
      </c>
      <c r="H545">
        <f>G545*3/100</f>
        <v>25.2</v>
      </c>
      <c r="I545">
        <f>G545-H545</f>
        <v>814.8</v>
      </c>
      <c r="J545">
        <v>18</v>
      </c>
      <c r="K545">
        <f>I545*J545</f>
        <v>14666.4</v>
      </c>
      <c r="L545">
        <f>F545*6</f>
        <v>84</v>
      </c>
      <c r="P545">
        <f>K545-L545+M545-N545-O545</f>
        <v>14582.4</v>
      </c>
      <c r="R545">
        <f>G545/F545</f>
        <v>60</v>
      </c>
    </row>
    <row r="546">
      <c r="A546">
        <v>534</v>
      </c>
      <c r="B546" t="str">
        <v>04*02*2026</v>
      </c>
      <c r="C546" t="str">
        <v>BASAVALINGAPPA</v>
      </c>
      <c r="D546" t="str">
        <v>THARHALLI</v>
      </c>
      <c r="E546">
        <v>9008490249</v>
      </c>
      <c r="F546">
        <v>86</v>
      </c>
      <c r="G546">
        <v>4960</v>
      </c>
      <c r="H546">
        <f>G546*3/100</f>
        <v>148.8</v>
      </c>
      <c r="I546">
        <f>G546-H546</f>
        <v>4811.2</v>
      </c>
      <c r="J546">
        <v>18</v>
      </c>
      <c r="K546">
        <f>I546*J546</f>
        <v>86601.59999999999</v>
      </c>
      <c r="L546">
        <f>F546*6</f>
        <v>516</v>
      </c>
      <c r="P546">
        <f>K546-L546+M546-N546-O546</f>
        <v>86085.59999999999</v>
      </c>
      <c r="R546">
        <f>G546/F546</f>
        <v>57.674418604651166</v>
      </c>
    </row>
    <row r="547">
      <c r="A547">
        <v>535</v>
      </c>
      <c r="B547" t="str">
        <v>04*02*2026</v>
      </c>
      <c r="C547" t="str">
        <v>NAGARAJ C H</v>
      </c>
      <c r="D547" t="str">
        <v>MASDI</v>
      </c>
      <c r="E547">
        <v>8970287525</v>
      </c>
      <c r="F547">
        <v>25</v>
      </c>
      <c r="G547">
        <v>1450</v>
      </c>
      <c r="H547">
        <f>G547*3/100</f>
        <v>43.5</v>
      </c>
      <c r="I547">
        <f>G547-H547</f>
        <v>1406.5</v>
      </c>
      <c r="J547">
        <v>17.5</v>
      </c>
      <c r="K547">
        <f>I547*J547</f>
        <v>24613.75</v>
      </c>
      <c r="L547">
        <f>F547*6</f>
        <v>150</v>
      </c>
      <c r="P547">
        <f>K547-L547+M547-N547-O547</f>
        <v>24463.75</v>
      </c>
      <c r="R547">
        <f>G547/F547</f>
        <v>58</v>
      </c>
    </row>
    <row r="548">
      <c r="A548">
        <v>536</v>
      </c>
      <c r="B548" t="str">
        <v>04*02*2026</v>
      </c>
      <c r="C548" t="str">
        <v>CHANAPPA</v>
      </c>
      <c r="D548" t="str">
        <v>DANHALLI</v>
      </c>
      <c r="E548">
        <v>9902397404</v>
      </c>
      <c r="F548">
        <v>176</v>
      </c>
      <c r="G548">
        <v>10090</v>
      </c>
      <c r="H548">
        <f>G548*3/100</f>
        <v>302.7</v>
      </c>
      <c r="I548">
        <f>G548-H548</f>
        <v>9787.3</v>
      </c>
      <c r="J548">
        <v>18.2</v>
      </c>
      <c r="K548">
        <f>I548*J548</f>
        <v>178128.86</v>
      </c>
      <c r="L548">
        <f>F548*6</f>
        <v>1056</v>
      </c>
      <c r="P548">
        <f>K548-L548+M548-N548-O548</f>
        <v>177072.86</v>
      </c>
      <c r="R548">
        <f>G548/F548</f>
        <v>57.32954545454545</v>
      </c>
    </row>
    <row r="549">
      <c r="A549">
        <v>537</v>
      </c>
      <c r="B549" t="str">
        <v>04*02*2026</v>
      </c>
      <c r="C549" t="str">
        <v>NAGARAJ</v>
      </c>
      <c r="D549" t="str">
        <v>BELEMALUR</v>
      </c>
      <c r="E549">
        <v>9591484889</v>
      </c>
      <c r="F549">
        <v>53</v>
      </c>
      <c r="G549">
        <v>3110</v>
      </c>
      <c r="H549">
        <f>G549*3/100</f>
        <v>93.3</v>
      </c>
      <c r="I549">
        <f>G549-H549</f>
        <v>3016.7</v>
      </c>
      <c r="J549">
        <v>17.6</v>
      </c>
      <c r="K549">
        <f>I549*J549</f>
        <v>53093.92</v>
      </c>
      <c r="L549">
        <f>F549*6</f>
        <v>318</v>
      </c>
      <c r="P549">
        <f>K549-L549+M549-N549-O549</f>
        <v>52775.92</v>
      </c>
      <c r="R549">
        <f>G549/F549</f>
        <v>58.679245283018865</v>
      </c>
    </row>
    <row r="550">
      <c r="A550">
        <v>538</v>
      </c>
      <c r="B550" t="str">
        <v>04*02*2026</v>
      </c>
      <c r="C550" t="str">
        <v>NAVEEN</v>
      </c>
      <c r="D550" t="str">
        <v>HONNALI</v>
      </c>
      <c r="E550">
        <v>9741685256</v>
      </c>
      <c r="F550">
        <v>71</v>
      </c>
      <c r="G550">
        <v>4020</v>
      </c>
      <c r="H550">
        <f>G550*3/100</f>
        <v>120.6</v>
      </c>
      <c r="I550">
        <f>G550-H550</f>
        <v>3899.4</v>
      </c>
      <c r="J550">
        <v>18</v>
      </c>
      <c r="K550">
        <f>I550*J550</f>
        <v>70189.2</v>
      </c>
      <c r="L550">
        <f>F550*6</f>
        <v>426</v>
      </c>
      <c r="P550">
        <f>K550-L550+M550-N550-O550</f>
        <v>69763.2</v>
      </c>
      <c r="R550">
        <f>G550/F550</f>
        <v>56.61971830985915</v>
      </c>
    </row>
    <row r="551">
      <c r="A551">
        <v>539</v>
      </c>
      <c r="B551" t="str">
        <v>04*02*2026</v>
      </c>
      <c r="C551" t="str">
        <v>MANJU</v>
      </c>
      <c r="D551" t="str">
        <v>DEVARHONNALI</v>
      </c>
      <c r="E551">
        <v>9164309982</v>
      </c>
      <c r="F551">
        <v>233</v>
      </c>
      <c r="G551">
        <v>13530</v>
      </c>
      <c r="H551">
        <f>G551*3/100</f>
        <v>405.9</v>
      </c>
      <c r="I551">
        <f>G551-H551</f>
        <v>13124.1</v>
      </c>
      <c r="J551">
        <v>18</v>
      </c>
      <c r="K551">
        <f>I551*J551</f>
        <v>236233.80000000002</v>
      </c>
      <c r="L551">
        <f>F551*6</f>
        <v>1398</v>
      </c>
      <c r="P551">
        <f>K551-L551+M551-N551-O551</f>
        <v>234835.80000000002</v>
      </c>
      <c r="R551">
        <f>G551/F551</f>
        <v>58.06866952789699</v>
      </c>
    </row>
    <row r="552">
      <c r="A552">
        <v>540</v>
      </c>
      <c r="B552" t="str">
        <v>04*02*2026</v>
      </c>
      <c r="C552" t="str">
        <v>HALESH</v>
      </c>
      <c r="D552" t="str">
        <v>BELEMALUR</v>
      </c>
      <c r="E552">
        <v>7483567590</v>
      </c>
      <c r="F552">
        <v>64</v>
      </c>
      <c r="G552">
        <v>3620</v>
      </c>
      <c r="H552">
        <f>G552*3/100</f>
        <v>108.6</v>
      </c>
      <c r="I552">
        <f>G552-H552</f>
        <v>3511.4</v>
      </c>
      <c r="J552">
        <v>17.6</v>
      </c>
      <c r="K552">
        <f>I552*J552</f>
        <v>61800.64000000001</v>
      </c>
      <c r="L552">
        <f>F552*6</f>
        <v>384</v>
      </c>
      <c r="P552">
        <f>K552-L552+M552-N552-O552</f>
        <v>61416.64000000001</v>
      </c>
      <c r="R552">
        <f>G552/F552</f>
        <v>56.5625</v>
      </c>
    </row>
    <row r="553">
      <c r="A553">
        <v>541</v>
      </c>
      <c r="B553" t="str">
        <v>04*02*2026</v>
      </c>
      <c r="C553" t="str">
        <v>NARASIMAPPA</v>
      </c>
      <c r="D553" t="str">
        <v>ARKERE</v>
      </c>
      <c r="E553">
        <v>8310574440</v>
      </c>
      <c r="F553">
        <v>124</v>
      </c>
      <c r="G553">
        <v>7530</v>
      </c>
      <c r="H553">
        <f>G553*3/100</f>
        <v>225.9</v>
      </c>
      <c r="I553">
        <f>G553-H553</f>
        <v>7304.1</v>
      </c>
      <c r="J553">
        <v>17.8</v>
      </c>
      <c r="K553">
        <f>I553*J553</f>
        <v>130012.98000000001</v>
      </c>
      <c r="L553">
        <f>F553*6</f>
        <v>744</v>
      </c>
      <c r="P553">
        <f>K553-L553+M553-N553-O553</f>
        <v>129268.98000000001</v>
      </c>
      <c r="R553">
        <f>G553/F553</f>
        <v>60.725806451612904</v>
      </c>
    </row>
    <row r="554">
      <c r="A554">
        <v>542</v>
      </c>
      <c r="B554" t="str">
        <v>06*02*2026</v>
      </c>
      <c r="C554" t="str">
        <v>SHIVAKUMAR</v>
      </c>
      <c r="D554" t="str">
        <v>SIGATAGERE</v>
      </c>
      <c r="E554">
        <v>9686131941</v>
      </c>
      <c r="F554">
        <v>416</v>
      </c>
      <c r="G554">
        <v>23797</v>
      </c>
      <c r="H554">
        <f>G554*3/100</f>
        <v>713.91</v>
      </c>
      <c r="I554">
        <f>G554-H554</f>
        <v>23083.09</v>
      </c>
      <c r="J554">
        <v>17.8</v>
      </c>
      <c r="K554">
        <f>I554*J554</f>
        <v>410879.00200000004</v>
      </c>
      <c r="L554">
        <f>F554*6</f>
        <v>2496</v>
      </c>
      <c r="N554">
        <v>275</v>
      </c>
      <c r="P554">
        <f>K554-L554+M554-N554-O554</f>
        <v>408108.00200000004</v>
      </c>
      <c r="R554">
        <f>G554/F554</f>
        <v>57.20432692307692</v>
      </c>
    </row>
    <row r="555">
      <c r="A555">
        <v>543</v>
      </c>
      <c r="B555" t="str">
        <v>06*02*2026</v>
      </c>
      <c r="C555" t="str">
        <v>BASAVANGOWDA</v>
      </c>
      <c r="D555" t="str">
        <v>SIGATAGERE</v>
      </c>
      <c r="E555">
        <v>9686131941</v>
      </c>
      <c r="F555">
        <v>13</v>
      </c>
      <c r="G555">
        <v>800</v>
      </c>
      <c r="H555">
        <f>G555*3/100</f>
        <v>24</v>
      </c>
      <c r="I555">
        <f>G555-H555</f>
        <v>776</v>
      </c>
      <c r="J555">
        <v>17.8</v>
      </c>
      <c r="K555">
        <f>I555*J555</f>
        <v>13812.800000000001</v>
      </c>
      <c r="L555">
        <f>F555*6</f>
        <v>78</v>
      </c>
      <c r="P555">
        <f>K555-L555+M555-N555-O555</f>
        <v>13734.800000000001</v>
      </c>
      <c r="R555">
        <f>G555/F555</f>
        <v>61.53846153846154</v>
      </c>
    </row>
    <row r="556">
      <c r="A556">
        <v>544</v>
      </c>
      <c r="B556" t="str">
        <v>06*02*2026</v>
      </c>
      <c r="C556" t="str">
        <v>DEVENDRAPPA</v>
      </c>
      <c r="D556" t="str">
        <v>SIGATAGERE</v>
      </c>
      <c r="E556">
        <v>9686131941</v>
      </c>
      <c r="F556">
        <v>24</v>
      </c>
      <c r="G556">
        <v>1437</v>
      </c>
      <c r="H556">
        <f>G556*3/100</f>
        <v>43.11</v>
      </c>
      <c r="I556">
        <f>G556-H556</f>
        <v>1393.89</v>
      </c>
      <c r="J556">
        <v>17.8</v>
      </c>
      <c r="K556">
        <f>I556*J556</f>
        <v>24811.242000000002</v>
      </c>
      <c r="L556">
        <f>F556*6</f>
        <v>144</v>
      </c>
      <c r="P556">
        <f>K556-L556+M556-N556-O556</f>
        <v>24667.242000000002</v>
      </c>
      <c r="R556">
        <f>G556/F556</f>
        <v>59.875</v>
      </c>
    </row>
    <row r="557">
      <c r="A557">
        <v>545</v>
      </c>
      <c r="B557" t="str">
        <v>06*02*2026</v>
      </c>
      <c r="C557" t="str">
        <v>YOGESH</v>
      </c>
      <c r="D557" t="str">
        <v>SIGATAGERE</v>
      </c>
      <c r="E557">
        <v>9686131941</v>
      </c>
      <c r="F557">
        <v>162</v>
      </c>
      <c r="G557">
        <v>9340</v>
      </c>
      <c r="H557">
        <f>G557*3/100</f>
        <v>280.2</v>
      </c>
      <c r="I557">
        <f>G557-H557</f>
        <v>9059.8</v>
      </c>
      <c r="J557">
        <v>17.8</v>
      </c>
      <c r="K557">
        <f>I557*J557</f>
        <v>161264.44</v>
      </c>
      <c r="L557">
        <f>F557*6</f>
        <v>972</v>
      </c>
      <c r="P557">
        <f>K557-L557+M557-N557-O557</f>
        <v>160292.44</v>
      </c>
      <c r="R557">
        <f>G557/F557</f>
        <v>57.65432098765432</v>
      </c>
    </row>
    <row r="558">
      <c r="A558">
        <v>546</v>
      </c>
      <c r="B558" t="str">
        <v>06*02*2026</v>
      </c>
      <c r="C558" t="str">
        <v>KARISIDAPPA</v>
      </c>
      <c r="D558" t="str">
        <v>SIGATAGERE</v>
      </c>
      <c r="E558">
        <v>9686131941</v>
      </c>
      <c r="F558">
        <v>101</v>
      </c>
      <c r="G558">
        <v>5970</v>
      </c>
      <c r="H558">
        <f>G558*3/100</f>
        <v>179.1</v>
      </c>
      <c r="I558">
        <f>G558-H558</f>
        <v>5790.9</v>
      </c>
      <c r="J558">
        <v>17.8</v>
      </c>
      <c r="K558">
        <f>I558*J558</f>
        <v>103078.02</v>
      </c>
      <c r="L558">
        <f>F558*6</f>
        <v>606</v>
      </c>
      <c r="P558">
        <f>K558-L558+M558-N558-O558</f>
        <v>102472.02</v>
      </c>
      <c r="R558">
        <f>G558/F558</f>
        <v>59.10891089108911</v>
      </c>
    </row>
    <row r="559">
      <c r="A559">
        <v>547</v>
      </c>
      <c r="B559" t="str">
        <v>06*02*2026</v>
      </c>
      <c r="C559" t="str">
        <v>ANJNIYA</v>
      </c>
      <c r="D559" t="str">
        <v>BALAMURI</v>
      </c>
      <c r="E559">
        <v>9164358227</v>
      </c>
      <c r="F559">
        <v>94</v>
      </c>
      <c r="G559">
        <v>5410</v>
      </c>
      <c r="H559">
        <f>G559*3/100</f>
        <v>162.3</v>
      </c>
      <c r="I559">
        <f>G559-H559</f>
        <v>5247.7</v>
      </c>
      <c r="J559">
        <v>17.8</v>
      </c>
      <c r="K559">
        <f>I559*J559</f>
        <v>93409.06</v>
      </c>
      <c r="L559">
        <f>F559*6</f>
        <v>564</v>
      </c>
      <c r="P559">
        <f>K559-L559+M559-N559-O559</f>
        <v>92845.06</v>
      </c>
      <c r="R559">
        <f>G559/F559</f>
        <v>57.5531914893617</v>
      </c>
    </row>
    <row r="560">
      <c r="A560">
        <v>548</v>
      </c>
      <c r="B560" t="str">
        <v>06*02*2026</v>
      </c>
      <c r="C560" t="str">
        <v>SANTOSH</v>
      </c>
      <c r="D560" t="str">
        <v>BALAMURI</v>
      </c>
      <c r="E560">
        <v>9164358227</v>
      </c>
      <c r="F560">
        <v>48</v>
      </c>
      <c r="G560">
        <v>2790</v>
      </c>
      <c r="H560">
        <f>G560*3/100</f>
        <v>83.7</v>
      </c>
      <c r="I560">
        <f>G560-H560</f>
        <v>2706.3</v>
      </c>
      <c r="J560">
        <v>17.8</v>
      </c>
      <c r="K560">
        <f>I560*J560</f>
        <v>48172.14000000001</v>
      </c>
      <c r="L560">
        <f>F560*6</f>
        <v>288</v>
      </c>
      <c r="P560">
        <f>K560-L560+M560-N560-O560</f>
        <v>47884.14000000001</v>
      </c>
      <c r="R560">
        <f>G560/F560</f>
        <v>58.125</v>
      </c>
    </row>
    <row r="561">
      <c r="A561">
        <v>549</v>
      </c>
      <c r="B561" t="str">
        <v>06*02*2026</v>
      </c>
      <c r="C561" t="str">
        <v>SHIVRAJ</v>
      </c>
      <c r="D561" t="str">
        <v>THARNAHALLI</v>
      </c>
      <c r="E561">
        <v>9008728819</v>
      </c>
      <c r="F561">
        <v>10</v>
      </c>
      <c r="G561">
        <v>580</v>
      </c>
      <c r="H561">
        <f>G561*3/100</f>
        <v>17.4</v>
      </c>
      <c r="I561">
        <f>G561-H561</f>
        <v>562.6</v>
      </c>
      <c r="J561">
        <v>17.6</v>
      </c>
      <c r="K561">
        <f>I561*J561</f>
        <v>9901.760000000002</v>
      </c>
      <c r="L561">
        <f>F561*6</f>
        <v>60</v>
      </c>
      <c r="P561">
        <f>K561-L561+M561-N561-O561</f>
        <v>9841.760000000002</v>
      </c>
      <c r="R561">
        <f>G561/F561</f>
        <v>58</v>
      </c>
    </row>
    <row r="562">
      <c r="A562">
        <v>550</v>
      </c>
      <c r="B562" t="str">
        <v>06*02*2026</v>
      </c>
      <c r="C562" t="str">
        <v>HANUMANTHAPPA</v>
      </c>
      <c r="D562" t="str">
        <v>THARNAHALLI</v>
      </c>
      <c r="E562">
        <v>9922305406</v>
      </c>
      <c r="F562">
        <v>84</v>
      </c>
      <c r="G562">
        <v>5000</v>
      </c>
      <c r="H562">
        <f>G562*3/100</f>
        <v>150</v>
      </c>
      <c r="I562">
        <f>G562-H562</f>
        <v>4850</v>
      </c>
      <c r="J562">
        <v>17.6</v>
      </c>
      <c r="K562">
        <f>I562*J562</f>
        <v>85360</v>
      </c>
      <c r="L562">
        <f>F562*6</f>
        <v>504</v>
      </c>
      <c r="P562">
        <f>K562-L562+M562-N562-O562</f>
        <v>84856</v>
      </c>
      <c r="R562">
        <f>G562/F562</f>
        <v>59.523809523809526</v>
      </c>
    </row>
    <row r="563">
      <c r="A563">
        <v>551</v>
      </c>
      <c r="B563" t="str">
        <v>06*02*2026</v>
      </c>
      <c r="C563" t="str">
        <v>BASAVARAJ</v>
      </c>
      <c r="D563" t="str">
        <v>THARNAHALLI</v>
      </c>
      <c r="E563">
        <v>9113053016</v>
      </c>
      <c r="F563">
        <v>84</v>
      </c>
      <c r="G563">
        <v>4660</v>
      </c>
      <c r="H563">
        <f>G563*3/100</f>
        <v>139.8</v>
      </c>
      <c r="I563">
        <f>G563-H563</f>
        <v>4520.2</v>
      </c>
      <c r="J563">
        <v>17.6</v>
      </c>
      <c r="K563">
        <f>I563*J563</f>
        <v>79555.52</v>
      </c>
      <c r="L563">
        <f>F563*6</f>
        <v>504</v>
      </c>
      <c r="P563">
        <f>K563-L563+M563-N563-O563</f>
        <v>79051.52</v>
      </c>
      <c r="R563">
        <f>G563/F563</f>
        <v>55.476190476190474</v>
      </c>
    </row>
    <row r="564">
      <c r="A564">
        <v>552</v>
      </c>
      <c r="B564" t="str">
        <v>06*02*2026</v>
      </c>
      <c r="C564" t="str">
        <v>SUNIL</v>
      </c>
      <c r="D564" t="str">
        <v>HOLEHARAHALLI</v>
      </c>
      <c r="E564">
        <v>9945321523</v>
      </c>
      <c r="F564">
        <v>158</v>
      </c>
      <c r="G564">
        <v>9180</v>
      </c>
      <c r="H564">
        <f>G564*3/100</f>
        <v>275.4</v>
      </c>
      <c r="I564">
        <f>G564-H564</f>
        <v>8904.6</v>
      </c>
      <c r="J564">
        <v>17.7</v>
      </c>
      <c r="K564">
        <f>I564*J564</f>
        <v>157611.42</v>
      </c>
      <c r="L564">
        <f>F564*6</f>
        <v>948</v>
      </c>
      <c r="P564">
        <f>K564-L564+M564-N564-O564</f>
        <v>156663.42</v>
      </c>
      <c r="R564">
        <f>G564/F564</f>
        <v>58.10126582278481</v>
      </c>
    </row>
    <row r="565">
      <c r="A565">
        <v>553</v>
      </c>
      <c r="B565" t="str">
        <v>07*02*2026</v>
      </c>
      <c r="C565" t="str">
        <v>SANTHOSH</v>
      </c>
      <c r="D565" t="str">
        <v>HONNALI</v>
      </c>
      <c r="E565">
        <v>8123275044</v>
      </c>
      <c r="F565">
        <v>4</v>
      </c>
      <c r="G565">
        <v>353</v>
      </c>
      <c r="H565">
        <f>G565*3/100</f>
        <v>10.59</v>
      </c>
      <c r="I565">
        <f>G565-H565</f>
        <v>342.41</v>
      </c>
      <c r="J565">
        <v>17.3</v>
      </c>
      <c r="K565">
        <f>I565*J565</f>
        <v>5923.693000000001</v>
      </c>
      <c r="L565">
        <f>F565*6</f>
        <v>24</v>
      </c>
      <c r="P565">
        <f>K565-L565+M565-N565-O565</f>
        <v>5899.693000000001</v>
      </c>
      <c r="R565">
        <f>G565/F565</f>
        <v>88.25</v>
      </c>
    </row>
    <row r="566">
      <c r="A566">
        <v>554</v>
      </c>
      <c r="B566" t="str">
        <v>07*02*2026</v>
      </c>
      <c r="C566" t="str">
        <v>THIMAPPA</v>
      </c>
      <c r="D566" t="str">
        <v>BALMURI</v>
      </c>
      <c r="E566">
        <v>7090670815</v>
      </c>
      <c r="F566">
        <v>38</v>
      </c>
      <c r="G566">
        <v>2230</v>
      </c>
      <c r="H566">
        <f>G566*3/100</f>
        <v>66.9</v>
      </c>
      <c r="I566">
        <f>G566-H566</f>
        <v>2163.1</v>
      </c>
      <c r="J566">
        <v>17.7</v>
      </c>
      <c r="K566">
        <f>I566*J566</f>
        <v>38286.869999999995</v>
      </c>
      <c r="L566">
        <f>F566*6</f>
        <v>228</v>
      </c>
      <c r="P566">
        <f>K566-L566+M566-N566-O566</f>
        <v>38058.869999999995</v>
      </c>
      <c r="R566">
        <f>G566/F566</f>
        <v>58.68421052631579</v>
      </c>
    </row>
    <row r="567">
      <c r="A567">
        <v>555</v>
      </c>
      <c r="B567" t="str">
        <v>07*02*2026</v>
      </c>
      <c r="C567" t="str">
        <v>HANUMATHAPPA</v>
      </c>
      <c r="D567" t="str">
        <v>DIDGURU</v>
      </c>
      <c r="E567">
        <v>9611530579</v>
      </c>
      <c r="F567">
        <v>43</v>
      </c>
      <c r="G567">
        <v>2440</v>
      </c>
      <c r="H567">
        <f>G567*3/100</f>
        <v>73.2</v>
      </c>
      <c r="I567">
        <f>G567-H567</f>
        <v>2366.8</v>
      </c>
      <c r="J567">
        <v>17.8</v>
      </c>
      <c r="K567">
        <f>I567*J567</f>
        <v>42129.04000000001</v>
      </c>
      <c r="L567">
        <f>F567*6</f>
        <v>258</v>
      </c>
      <c r="P567">
        <f>K567-L567+M567-N567-O567</f>
        <v>41871.04000000001</v>
      </c>
      <c r="R567">
        <f>G567/F567</f>
        <v>56.74418604651163</v>
      </c>
    </row>
    <row r="568">
      <c r="A568">
        <v>556</v>
      </c>
      <c r="B568" t="str">
        <v>07*02*2026</v>
      </c>
      <c r="C568" t="str">
        <v>SANA MARIYAPPA</v>
      </c>
      <c r="D568" t="str">
        <v>HANUMASAGARA</v>
      </c>
      <c r="E568">
        <v>9731418658</v>
      </c>
      <c r="F568">
        <v>263</v>
      </c>
      <c r="G568">
        <v>15180</v>
      </c>
      <c r="H568">
        <f>G568*3/100</f>
        <v>455.4</v>
      </c>
      <c r="I568">
        <f>G568-H568</f>
        <v>14724.6</v>
      </c>
      <c r="J568">
        <v>17.8</v>
      </c>
      <c r="K568">
        <f>I568*J568</f>
        <v>262097.88</v>
      </c>
      <c r="L568">
        <f>F568*6</f>
        <v>1578</v>
      </c>
      <c r="P568">
        <f>K568-L568+M568-N568-O568</f>
        <v>260519.88</v>
      </c>
      <c r="R568">
        <f>G568/F568</f>
        <v>57.71863117870723</v>
      </c>
    </row>
    <row r="569">
      <c r="A569">
        <v>557</v>
      </c>
      <c r="B569" t="str">
        <v>07*02*2026</v>
      </c>
      <c r="C569" t="str">
        <v>PRABU GOWDA</v>
      </c>
      <c r="D569" t="str">
        <v>BALMURI</v>
      </c>
      <c r="E569">
        <v>8105070188</v>
      </c>
      <c r="F569">
        <v>52</v>
      </c>
      <c r="G569">
        <v>2960</v>
      </c>
      <c r="H569">
        <f>G569*3/100</f>
        <v>88.8</v>
      </c>
      <c r="I569">
        <f>G569-H569</f>
        <v>2871.2</v>
      </c>
      <c r="J569">
        <v>17.6</v>
      </c>
      <c r="K569">
        <f>I569*J569</f>
        <v>50533.12</v>
      </c>
      <c r="L569">
        <f>F569*6</f>
        <v>312</v>
      </c>
      <c r="P569">
        <f>K569-L569+M569-N569-O569</f>
        <v>50221.12</v>
      </c>
      <c r="R569">
        <f>G569/F569</f>
        <v>56.92307692307692</v>
      </c>
    </row>
    <row r="570">
      <c r="A570">
        <v>558</v>
      </c>
      <c r="B570" t="str">
        <v>07*02*2026</v>
      </c>
      <c r="C570" t="str">
        <v>PRABU GOWDA</v>
      </c>
      <c r="D570" t="str">
        <v>BALMURI</v>
      </c>
      <c r="E570">
        <v>8105070188</v>
      </c>
      <c r="F570">
        <v>130</v>
      </c>
      <c r="G570">
        <v>7340</v>
      </c>
      <c r="H570">
        <f>G570*3/100</f>
        <v>220.2</v>
      </c>
      <c r="I570">
        <f>G570-H570</f>
        <v>7119.8</v>
      </c>
      <c r="J570">
        <v>17.6</v>
      </c>
      <c r="K570">
        <f>I570*J570</f>
        <v>125308.48000000001</v>
      </c>
      <c r="L570">
        <f>F570*6</f>
        <v>780</v>
      </c>
      <c r="P570">
        <f>K570-L570+M570-N570-O570</f>
        <v>124528.48000000001</v>
      </c>
      <c r="R570">
        <f>G570/F570</f>
        <v>56.46153846153846</v>
      </c>
    </row>
    <row r="571">
      <c r="A571">
        <v>559</v>
      </c>
      <c r="B571" t="str">
        <v>07*02*2026</v>
      </c>
      <c r="C571" t="str">
        <v>BASAVANGOWDA</v>
      </c>
      <c r="D571" t="str">
        <v>BALMURI</v>
      </c>
      <c r="E571">
        <v>9591294047</v>
      </c>
      <c r="F571">
        <v>130</v>
      </c>
      <c r="G571">
        <v>3510</v>
      </c>
      <c r="H571">
        <f>G571*3/100</f>
        <v>105.3</v>
      </c>
      <c r="I571">
        <f>G571-H571</f>
        <v>3404.7</v>
      </c>
      <c r="J571">
        <v>17.6</v>
      </c>
      <c r="K571">
        <f>I571*J571</f>
        <v>59922.72</v>
      </c>
      <c r="L571">
        <f>F571*6</f>
        <v>780</v>
      </c>
      <c r="P571">
        <f>K571-L571+M571-N571-O571</f>
        <v>59142.72</v>
      </c>
      <c r="R571">
        <f>G571/F571</f>
        <v>27</v>
      </c>
    </row>
    <row r="572">
      <c r="A572">
        <v>560</v>
      </c>
      <c r="B572" t="str">
        <v>07*02*2026</v>
      </c>
      <c r="C572" t="str">
        <v>PRAKASH</v>
      </c>
      <c r="D572" t="str">
        <v>HANUMASAGARA</v>
      </c>
      <c r="E572">
        <v>9535053116</v>
      </c>
      <c r="F572">
        <v>164</v>
      </c>
      <c r="G572">
        <v>9260</v>
      </c>
      <c r="H572">
        <f>G572*3/100</f>
        <v>277.8</v>
      </c>
      <c r="I572">
        <f>G572-H572</f>
        <v>8982.2</v>
      </c>
      <c r="J572">
        <v>17.8</v>
      </c>
      <c r="K572">
        <f>I572*J572</f>
        <v>159883.16000000003</v>
      </c>
      <c r="L572">
        <f>F572*6</f>
        <v>984</v>
      </c>
      <c r="P572">
        <f>K572-L572+M572-N572-O572</f>
        <v>158899.16000000003</v>
      </c>
      <c r="R572">
        <f>G572/F572</f>
        <v>56.46341463414634</v>
      </c>
    </row>
    <row r="573">
      <c r="A573">
        <v>561</v>
      </c>
      <c r="B573" t="str">
        <v>07*02*2026</v>
      </c>
      <c r="C573" t="str">
        <v>CHANARASHEKARA</v>
      </c>
      <c r="D573" t="str">
        <v>HANUMASAGARA</v>
      </c>
      <c r="E573">
        <v>8576980063</v>
      </c>
      <c r="F573">
        <v>152</v>
      </c>
      <c r="G573">
        <v>9030</v>
      </c>
      <c r="H573">
        <f>G573*3/100</f>
        <v>270.9</v>
      </c>
      <c r="I573">
        <f>G573-H573</f>
        <v>8759.1</v>
      </c>
      <c r="J573">
        <v>17.8</v>
      </c>
      <c r="K573">
        <f>I573*J573</f>
        <v>155911.98</v>
      </c>
      <c r="L573">
        <f>F573*6</f>
        <v>912</v>
      </c>
      <c r="P573">
        <f>K573-L573+M573-N573-O573</f>
        <v>154999.98</v>
      </c>
      <c r="R573">
        <f>G573/F573</f>
        <v>59.4078947368421</v>
      </c>
    </row>
    <row r="574">
      <c r="A574">
        <v>562</v>
      </c>
      <c r="B574" t="str">
        <v>08*02*2026</v>
      </c>
      <c r="C574" t="str">
        <v>PRAJWAL</v>
      </c>
      <c r="D574" t="str">
        <v>HANUMASAGARA</v>
      </c>
      <c r="E574">
        <v>9380031024</v>
      </c>
      <c r="F574">
        <v>56</v>
      </c>
      <c r="G574">
        <v>3260</v>
      </c>
      <c r="H574">
        <f>G574*3/100</f>
        <v>97.8</v>
      </c>
      <c r="I574">
        <f>G574-H574</f>
        <v>3162.2</v>
      </c>
      <c r="J574">
        <v>17.5</v>
      </c>
      <c r="K574">
        <f>I574*J574</f>
        <v>55338.5</v>
      </c>
      <c r="L574">
        <f>F574*6</f>
        <v>336</v>
      </c>
      <c r="P574">
        <f>K574-L574+M574-N574-O574</f>
        <v>55002.5</v>
      </c>
      <c r="R574">
        <f>G574/F574</f>
        <v>58.214285714285715</v>
      </c>
    </row>
    <row r="575">
      <c r="A575">
        <v>563</v>
      </c>
      <c r="B575" t="str">
        <v>08*02*2026</v>
      </c>
      <c r="C575" t="str">
        <v>SHARATH</v>
      </c>
      <c r="D575" t="str">
        <v>THRHALLI</v>
      </c>
      <c r="E575">
        <v>8152004274</v>
      </c>
      <c r="F575">
        <v>128</v>
      </c>
      <c r="G575">
        <v>7120</v>
      </c>
      <c r="H575">
        <f>G575*3/100</f>
        <v>213.6</v>
      </c>
      <c r="I575">
        <f>G575-H575</f>
        <v>6906.4</v>
      </c>
      <c r="J575">
        <v>17.7</v>
      </c>
      <c r="K575">
        <f>I575*J575</f>
        <v>122243.27999999998</v>
      </c>
      <c r="L575">
        <f>F575*6</f>
        <v>768</v>
      </c>
      <c r="P575">
        <f>K575-L575+M575-N575-O575</f>
        <v>121475.27999999998</v>
      </c>
      <c r="R575">
        <f>G575/F575</f>
        <v>55.625</v>
      </c>
    </row>
    <row r="576">
      <c r="A576">
        <v>564</v>
      </c>
      <c r="B576" t="str">
        <v>08*02*2026</v>
      </c>
      <c r="C576" t="str">
        <v>PRAKASH</v>
      </c>
      <c r="D576" t="str">
        <v>HANUMASAGARA</v>
      </c>
      <c r="E576">
        <v>96860030072</v>
      </c>
      <c r="F576">
        <v>174</v>
      </c>
      <c r="G576">
        <v>9710</v>
      </c>
      <c r="H576">
        <f>G576*3/100</f>
        <v>291.3</v>
      </c>
      <c r="I576">
        <f>G576-H576</f>
        <v>9418.7</v>
      </c>
      <c r="J576">
        <v>17.8</v>
      </c>
      <c r="K576">
        <f>I576*J576</f>
        <v>167652.86000000002</v>
      </c>
      <c r="L576">
        <f>F576*6</f>
        <v>1044</v>
      </c>
      <c r="P576">
        <f>K576-L576+M576-N576-O576</f>
        <v>166608.86000000002</v>
      </c>
      <c r="R576">
        <f>G576/F576</f>
        <v>55.804597701149426</v>
      </c>
    </row>
    <row r="577">
      <c r="A577">
        <v>565</v>
      </c>
      <c r="B577" t="str">
        <v>08*02*2026</v>
      </c>
      <c r="C577" t="str">
        <v>NAGARAJ</v>
      </c>
      <c r="D577" t="str">
        <v>HANUMASAGARA</v>
      </c>
      <c r="E577">
        <v>9686003072</v>
      </c>
      <c r="F577">
        <v>140</v>
      </c>
      <c r="G577">
        <v>8020</v>
      </c>
      <c r="H577">
        <f>G577*3/100</f>
        <v>240.6</v>
      </c>
      <c r="I577">
        <f>G577-H577</f>
        <v>7779.4</v>
      </c>
      <c r="J577">
        <v>17.8</v>
      </c>
      <c r="K577">
        <f>I577*J577</f>
        <v>138473.32</v>
      </c>
      <c r="L577">
        <f>F577*6</f>
        <v>840</v>
      </c>
      <c r="P577">
        <f>K577-L577+M577-N577-O577</f>
        <v>137633.32</v>
      </c>
      <c r="R577">
        <f>G577/F577</f>
        <v>57.285714285714285</v>
      </c>
    </row>
    <row r="578">
      <c r="A578">
        <v>566</v>
      </c>
      <c r="B578" t="str">
        <v>08*02*2026</v>
      </c>
      <c r="C578" t="str">
        <v>RAVI</v>
      </c>
      <c r="D578" t="str">
        <v>HONNALI</v>
      </c>
      <c r="F578">
        <v>30</v>
      </c>
      <c r="G578">
        <v>1820</v>
      </c>
      <c r="H578">
        <f>G578*3/100</f>
        <v>54.6</v>
      </c>
      <c r="I578">
        <f>G578-H578</f>
        <v>1765.4</v>
      </c>
      <c r="J578">
        <v>17.7</v>
      </c>
      <c r="K578">
        <f>I578*J578</f>
        <v>31247.58</v>
      </c>
      <c r="L578">
        <f>F578*6</f>
        <v>180</v>
      </c>
      <c r="P578">
        <f>K578-L578+M578-N578-O578</f>
        <v>31067.58</v>
      </c>
      <c r="R578">
        <f>G578/F578</f>
        <v>60.666666666666664</v>
      </c>
    </row>
    <row r="579">
      <c r="A579">
        <v>567</v>
      </c>
      <c r="B579" t="str">
        <v>08*02*2026</v>
      </c>
      <c r="C579" t="str">
        <v>RAVI</v>
      </c>
      <c r="D579" t="str">
        <v>HONNALI</v>
      </c>
      <c r="F579">
        <v>15</v>
      </c>
      <c r="G579">
        <v>630</v>
      </c>
      <c r="H579">
        <f>G579*3/100</f>
        <v>18.9</v>
      </c>
      <c r="I579">
        <f>G579-H579</f>
        <v>611.1</v>
      </c>
      <c r="J579">
        <v>17.7</v>
      </c>
      <c r="K579">
        <f>I579*J579</f>
        <v>10816.47</v>
      </c>
      <c r="L579">
        <f>F579*6</f>
        <v>90</v>
      </c>
      <c r="P579">
        <f>K579-L579+M579-N579-O579</f>
        <v>10726.47</v>
      </c>
      <c r="R579">
        <f>G579/F579</f>
        <v>42</v>
      </c>
    </row>
    <row r="580">
      <c r="A580">
        <v>568</v>
      </c>
      <c r="B580" t="str">
        <v>08*02*2026</v>
      </c>
      <c r="C580" t="str">
        <v>AMITH</v>
      </c>
      <c r="D580" t="str">
        <v>HANNALI</v>
      </c>
      <c r="E580">
        <v>8431657716</v>
      </c>
      <c r="F580">
        <v>334</v>
      </c>
      <c r="G580">
        <v>19440</v>
      </c>
      <c r="H580">
        <f>G580*3/100</f>
        <v>583.2</v>
      </c>
      <c r="I580">
        <f>G580-H580</f>
        <v>18856.8</v>
      </c>
      <c r="J580">
        <v>18</v>
      </c>
      <c r="K580">
        <f>I580*J580</f>
        <v>339422.39999999997</v>
      </c>
      <c r="L580">
        <f>F580*6</f>
        <v>2004</v>
      </c>
      <c r="P580">
        <f>K580-L580+M580-N580-O580</f>
        <v>337418.39999999997</v>
      </c>
      <c r="R580">
        <f>G580/F580</f>
        <v>58.203592814371255</v>
      </c>
    </row>
    <row r="581">
      <c r="A581">
        <v>569</v>
      </c>
      <c r="B581" t="str">
        <v>08*02*2026</v>
      </c>
      <c r="C581" t="str">
        <v>MANJUNATH</v>
      </c>
      <c r="D581" t="str">
        <v>THARHALLI</v>
      </c>
      <c r="E581">
        <v>9535916072</v>
      </c>
      <c r="F581">
        <v>101</v>
      </c>
      <c r="G581">
        <v>5540</v>
      </c>
      <c r="H581">
        <f>G581*3/100</f>
        <v>166.2</v>
      </c>
      <c r="I581">
        <f>G581-H581</f>
        <v>5373.8</v>
      </c>
      <c r="J581">
        <v>17.55</v>
      </c>
      <c r="K581">
        <f>I581*J581</f>
        <v>94310.19</v>
      </c>
      <c r="L581">
        <f>F581*6</f>
        <v>606</v>
      </c>
      <c r="P581">
        <f>K581-L581+M581-N581-O581</f>
        <v>93704.19</v>
      </c>
      <c r="R581">
        <f>G581/F581</f>
        <v>54.851485148514854</v>
      </c>
    </row>
    <row r="582">
      <c r="A582">
        <v>570</v>
      </c>
      <c r="B582" t="str">
        <v>08*02*2026</v>
      </c>
      <c r="C582" t="str">
        <v>BASVARAJ</v>
      </c>
      <c r="D582" t="str">
        <v>ARKERE</v>
      </c>
      <c r="E582">
        <v>9164912778</v>
      </c>
      <c r="F582">
        <v>47</v>
      </c>
      <c r="G582">
        <v>2740</v>
      </c>
      <c r="H582">
        <f>G582*3/100</f>
        <v>82.2</v>
      </c>
      <c r="I582">
        <f>G582-H582</f>
        <v>2657.8</v>
      </c>
      <c r="J582">
        <v>17.5</v>
      </c>
      <c r="K582">
        <f>I582*J582</f>
        <v>46511.5</v>
      </c>
      <c r="L582">
        <f>F582*6</f>
        <v>282</v>
      </c>
      <c r="P582">
        <f>K582-L582+M582-N582-O582</f>
        <v>46229.5</v>
      </c>
      <c r="R582">
        <f>G582/F582</f>
        <v>58.297872340425535</v>
      </c>
    </row>
    <row r="583">
      <c r="A583">
        <v>571</v>
      </c>
      <c r="B583" t="str">
        <v>08*02*2026</v>
      </c>
      <c r="C583" t="str">
        <v>SWAMI</v>
      </c>
      <c r="D583" t="str">
        <v>HONNALI</v>
      </c>
      <c r="E583">
        <v>9986414053</v>
      </c>
      <c r="F583">
        <v>1217</v>
      </c>
      <c r="G583">
        <v>72560</v>
      </c>
      <c r="H583">
        <f>G583*3/100</f>
        <v>2176.8</v>
      </c>
      <c r="I583">
        <f>G583-H583</f>
        <v>70383.2</v>
      </c>
      <c r="J583">
        <v>17.5</v>
      </c>
      <c r="K583">
        <f>I583*J583</f>
        <v>1231706</v>
      </c>
      <c r="L583">
        <f>F583*6</f>
        <v>7302</v>
      </c>
      <c r="P583">
        <f>K583-L583+M583-N583-O583</f>
        <v>1224404</v>
      </c>
      <c r="R583">
        <f>G583/F583</f>
        <v>59.62202136400986</v>
      </c>
    </row>
    <row r="584">
      <c r="A584">
        <v>572</v>
      </c>
      <c r="B584" t="str">
        <v>08*02*2026</v>
      </c>
      <c r="C584" t="str">
        <v>KARIBASAPPA</v>
      </c>
      <c r="D584" t="str">
        <v>HANUMASAGARA</v>
      </c>
      <c r="E584">
        <v>9663885162</v>
      </c>
      <c r="F584">
        <v>113</v>
      </c>
      <c r="G584">
        <v>6380</v>
      </c>
      <c r="H584">
        <f>G584*3/100</f>
        <v>191.4</v>
      </c>
      <c r="I584">
        <f>G584-H584</f>
        <v>6188.6</v>
      </c>
      <c r="J584">
        <v>17.6</v>
      </c>
      <c r="K584">
        <f>I584*J584</f>
        <v>108919.36000000002</v>
      </c>
      <c r="L584">
        <f>F584*6</f>
        <v>678</v>
      </c>
      <c r="P584">
        <f>K584-L584+M584-N584-O584</f>
        <v>108241.36000000002</v>
      </c>
      <c r="R584">
        <f>G584/F584</f>
        <v>56.46017699115044</v>
      </c>
    </row>
    <row r="585">
      <c r="A585">
        <v>573</v>
      </c>
      <c r="B585" t="str">
        <v>08*02*2026</v>
      </c>
      <c r="C585" t="str">
        <v>THIMAPPA</v>
      </c>
      <c r="D585" t="str">
        <v>HANUMASAGARA</v>
      </c>
      <c r="E585">
        <v>9902276930</v>
      </c>
      <c r="F585">
        <v>177</v>
      </c>
      <c r="G585">
        <v>10000</v>
      </c>
      <c r="H585">
        <f>G585*3/100</f>
        <v>300</v>
      </c>
      <c r="I585">
        <f>G585-H585</f>
        <v>9700</v>
      </c>
      <c r="J585">
        <v>17.6</v>
      </c>
      <c r="K585">
        <f>I585*J585</f>
        <v>170720</v>
      </c>
      <c r="L585">
        <f>F585*6</f>
        <v>1062</v>
      </c>
      <c r="P585">
        <f>K585-L585+M585-N585-O585</f>
        <v>169658</v>
      </c>
      <c r="R585">
        <f>G585/F585</f>
        <v>56.49717514124294</v>
      </c>
    </row>
    <row r="586">
      <c r="A586">
        <v>574</v>
      </c>
      <c r="B586" t="str">
        <v>09*02*2026</v>
      </c>
      <c r="C586" t="str">
        <v>MOHAN</v>
      </c>
      <c r="D586" t="str">
        <v>MALLAPURA</v>
      </c>
      <c r="E586">
        <v>9008690319</v>
      </c>
      <c r="F586">
        <v>102</v>
      </c>
      <c r="G586">
        <v>5780</v>
      </c>
      <c r="H586">
        <f>G586*3/100</f>
        <v>173.4</v>
      </c>
      <c r="I586">
        <f>G586-H586</f>
        <v>5606.6</v>
      </c>
      <c r="J586">
        <v>17.8</v>
      </c>
      <c r="K586">
        <f>I586*J586</f>
        <v>99797.48000000001</v>
      </c>
      <c r="L586">
        <f>F586*6</f>
        <v>612</v>
      </c>
      <c r="P586">
        <f>K586-L586+M586-N586-O586</f>
        <v>99185.48000000001</v>
      </c>
      <c r="R586">
        <f>G586/F586</f>
        <v>56.666666666666664</v>
      </c>
    </row>
    <row r="587">
      <c r="A587">
        <v>575</v>
      </c>
      <c r="B587" t="str">
        <v>09*02*2026</v>
      </c>
      <c r="C587" t="str">
        <v>RAVI KUMAR</v>
      </c>
      <c r="D587" t="str">
        <v>MALLAPURA</v>
      </c>
      <c r="E587">
        <v>8861170542</v>
      </c>
      <c r="F587">
        <v>70</v>
      </c>
      <c r="G587">
        <v>3870</v>
      </c>
      <c r="H587">
        <f>G587*3/100</f>
        <v>116.1</v>
      </c>
      <c r="I587">
        <f>G587-H587</f>
        <v>3753.9</v>
      </c>
      <c r="J587">
        <v>17.7</v>
      </c>
      <c r="K587">
        <f>I587*J587</f>
        <v>66444.03</v>
      </c>
      <c r="L587">
        <f>F587*6</f>
        <v>420</v>
      </c>
      <c r="P587">
        <f>K587-L587+M587-N587-O587</f>
        <v>66024.03</v>
      </c>
      <c r="R587">
        <f>G587/F587</f>
        <v>55.285714285714285</v>
      </c>
    </row>
    <row r="588">
      <c r="A588">
        <v>576</v>
      </c>
      <c r="B588" t="str">
        <v>09*02*2026</v>
      </c>
      <c r="C588" t="str">
        <v>NARASIMAPPA</v>
      </c>
      <c r="D588" t="str">
        <v>HANUMASAGARA</v>
      </c>
      <c r="E588">
        <v>79753556577</v>
      </c>
      <c r="F588">
        <v>35</v>
      </c>
      <c r="G588">
        <v>1970</v>
      </c>
      <c r="H588">
        <f>G588*3/100</f>
        <v>59.1</v>
      </c>
      <c r="I588">
        <f>G588-H588</f>
        <v>1910.9</v>
      </c>
      <c r="J588">
        <v>17.3</v>
      </c>
      <c r="K588">
        <f>I588*J588</f>
        <v>33058.57</v>
      </c>
      <c r="L588">
        <f>F588*6</f>
        <v>210</v>
      </c>
      <c r="P588">
        <f>K588-L588+M588-N588-O588</f>
        <v>32848.57</v>
      </c>
      <c r="R588">
        <f>G588/F588</f>
        <v>56.285714285714285</v>
      </c>
    </row>
    <row r="589">
      <c r="A589">
        <v>577</v>
      </c>
      <c r="B589" t="str">
        <v>09*02*2026</v>
      </c>
      <c r="C589" t="str">
        <v>DASAPPA</v>
      </c>
      <c r="D589" t="str">
        <v>HANUMASAGARA</v>
      </c>
      <c r="E589">
        <v>9663855626</v>
      </c>
      <c r="F589">
        <v>220</v>
      </c>
      <c r="G589">
        <v>12560</v>
      </c>
      <c r="H589">
        <f>G589*3/100</f>
        <v>376.8</v>
      </c>
      <c r="I589">
        <f>G589-H589</f>
        <v>12183.2</v>
      </c>
      <c r="J589">
        <v>17.6</v>
      </c>
      <c r="K589">
        <f>I589*J589</f>
        <v>214424.32000000004</v>
      </c>
      <c r="L589">
        <f>F589*6</f>
        <v>1320</v>
      </c>
      <c r="P589">
        <f>K589-L589+M589-N589-O589</f>
        <v>213104.32000000004</v>
      </c>
      <c r="R589">
        <f>G589/F589</f>
        <v>57.09090909090909</v>
      </c>
    </row>
    <row r="590">
      <c r="A590">
        <v>578</v>
      </c>
      <c r="B590" t="str">
        <v>09*02*2026</v>
      </c>
      <c r="C590" t="str">
        <v>MARIYAPPA</v>
      </c>
      <c r="D590" t="str">
        <v>HANUMASAGARA</v>
      </c>
      <c r="E590">
        <v>9740350498</v>
      </c>
      <c r="F590">
        <v>66</v>
      </c>
      <c r="G590">
        <v>3690</v>
      </c>
      <c r="H590">
        <f>G590*3/100</f>
        <v>110.7</v>
      </c>
      <c r="I590">
        <f>G590-H590</f>
        <v>3579.3</v>
      </c>
      <c r="J590">
        <v>17.4</v>
      </c>
      <c r="K590">
        <f>I590*J590</f>
        <v>62279.82</v>
      </c>
      <c r="L590">
        <f>F590*6</f>
        <v>396</v>
      </c>
      <c r="P590">
        <f>K590-L590+M590-N590-O590</f>
        <v>61883.82</v>
      </c>
      <c r="R590">
        <f>G590/F590</f>
        <v>55.90909090909091</v>
      </c>
    </row>
    <row r="591">
      <c r="A591">
        <v>579</v>
      </c>
      <c r="B591" t="str">
        <v>09*02*2026</v>
      </c>
      <c r="C591" t="str">
        <v>NAGARAJ</v>
      </c>
      <c r="D591" t="str">
        <v>HANUMASAGARA</v>
      </c>
      <c r="E591">
        <v>8050374539</v>
      </c>
      <c r="F591">
        <v>34</v>
      </c>
      <c r="G591">
        <v>1820</v>
      </c>
      <c r="H591">
        <f>G591*3/100</f>
        <v>54.6</v>
      </c>
      <c r="I591">
        <f>G591-H591</f>
        <v>1765.4</v>
      </c>
      <c r="J591">
        <v>17.4</v>
      </c>
      <c r="K591">
        <f>I591*J591</f>
        <v>30717.96</v>
      </c>
      <c r="L591">
        <f>F591*6</f>
        <v>204</v>
      </c>
      <c r="P591">
        <f>K591-L591+M591-N591-O591</f>
        <v>30513.96</v>
      </c>
      <c r="R591">
        <f>G591/F591</f>
        <v>53.529411764705884</v>
      </c>
    </row>
    <row r="592">
      <c r="A592">
        <v>580</v>
      </c>
      <c r="B592" t="str">
        <v>09*02*2026</v>
      </c>
      <c r="C592" t="str">
        <v>HANUMANTHAPPA</v>
      </c>
      <c r="D592" t="str">
        <v>HANUMASAGARA</v>
      </c>
      <c r="E592">
        <v>9108835258</v>
      </c>
      <c r="F592">
        <v>42</v>
      </c>
      <c r="G592">
        <v>2320</v>
      </c>
      <c r="H592">
        <f>G592*3/100</f>
        <v>69.6</v>
      </c>
      <c r="I592">
        <f>G592-H592</f>
        <v>2250.4</v>
      </c>
      <c r="J592">
        <v>17</v>
      </c>
      <c r="K592">
        <f>I592*J592</f>
        <v>38256.8</v>
      </c>
      <c r="L592">
        <f>F592*6</f>
        <v>252</v>
      </c>
      <c r="P592">
        <f>K592-L592+M592-N592-O592</f>
        <v>38004.8</v>
      </c>
      <c r="R592">
        <f>G593/F593</f>
        <v>56.22222222222222</v>
      </c>
    </row>
    <row r="593">
      <c r="A593">
        <v>581</v>
      </c>
      <c r="B593" t="str">
        <v>09*02*2026</v>
      </c>
      <c r="C593" t="str">
        <v>CHANDRAPPA</v>
      </c>
      <c r="D593" t="str">
        <v>HANUMASAGARA</v>
      </c>
      <c r="E593">
        <v>9019097361</v>
      </c>
      <c r="F593">
        <v>45</v>
      </c>
      <c r="G593">
        <v>2530</v>
      </c>
      <c r="H593">
        <f>G593*3/100</f>
        <v>75.9</v>
      </c>
      <c r="I593">
        <f>G593-H593</f>
        <v>2454.1</v>
      </c>
      <c r="J593">
        <v>17.4</v>
      </c>
      <c r="K593">
        <f>I593*J593</f>
        <v>42701.34</v>
      </c>
      <c r="L593">
        <f>F593*6</f>
        <v>270</v>
      </c>
      <c r="P593">
        <f>K593-L593+M593-N593-O593</f>
        <v>42431.34</v>
      </c>
      <c r="R593">
        <f>G594/F594</f>
        <v>56.808510638297875</v>
      </c>
    </row>
    <row r="594">
      <c r="A594">
        <v>582</v>
      </c>
      <c r="B594" t="str">
        <v>09*02*2026</v>
      </c>
      <c r="C594" t="str">
        <v>HARISH</v>
      </c>
      <c r="D594" t="str">
        <v>HANUMASAGARA</v>
      </c>
      <c r="E594">
        <v>8093966838</v>
      </c>
      <c r="F594">
        <v>47</v>
      </c>
      <c r="G594">
        <v>2670</v>
      </c>
      <c r="H594">
        <f>G594*3/100</f>
        <v>80.1</v>
      </c>
      <c r="I594">
        <f>G594-H594</f>
        <v>2589.9</v>
      </c>
      <c r="J594">
        <v>17.4</v>
      </c>
      <c r="K594">
        <f>I594*J594</f>
        <v>45064.259999999995</v>
      </c>
      <c r="L594">
        <f>F594*6</f>
        <v>282</v>
      </c>
      <c r="P594">
        <f>K594-L594+M594-N594-O594</f>
        <v>44782.259999999995</v>
      </c>
      <c r="R594">
        <f>G595/F595</f>
        <v>58.82113821138211</v>
      </c>
    </row>
    <row r="595">
      <c r="A595">
        <v>583</v>
      </c>
      <c r="B595" t="str">
        <v>09*02*2026</v>
      </c>
      <c r="C595" t="str">
        <v>SWAMI</v>
      </c>
      <c r="D595" t="str">
        <v>HONNALI</v>
      </c>
      <c r="E595">
        <v>9986414053</v>
      </c>
      <c r="F595">
        <v>246</v>
      </c>
      <c r="G595">
        <v>14470</v>
      </c>
      <c r="H595">
        <f>G595*3/100</f>
        <v>434.1</v>
      </c>
      <c r="I595">
        <f>G595-H595</f>
        <v>14035.9</v>
      </c>
      <c r="J595">
        <v>17.3</v>
      </c>
      <c r="K595">
        <f>I595*J595</f>
        <v>242821.07</v>
      </c>
      <c r="L595">
        <f>F595*6</f>
        <v>1476</v>
      </c>
      <c r="P595">
        <f>K595-L595+M595-N595-O595</f>
        <v>241345.07</v>
      </c>
      <c r="R595">
        <f>G596/F596</f>
        <v>63.84615384615385</v>
      </c>
    </row>
    <row r="596">
      <c r="A596">
        <v>584</v>
      </c>
      <c r="B596" t="str">
        <v>09*02*2026</v>
      </c>
      <c r="C596" t="str">
        <v>RAMANNA</v>
      </c>
      <c r="D596" t="str">
        <v>BELEMALUR</v>
      </c>
      <c r="E596" t="str">
        <v>HAMALI</v>
      </c>
      <c r="F596">
        <v>13</v>
      </c>
      <c r="G596">
        <v>830</v>
      </c>
      <c r="H596">
        <f>G596*3/100</f>
        <v>24.9</v>
      </c>
      <c r="I596">
        <f>G596-H596</f>
        <v>805.1</v>
      </c>
      <c r="J596">
        <v>17.4</v>
      </c>
      <c r="K596">
        <f>I596*J596</f>
        <v>14008.74</v>
      </c>
      <c r="L596">
        <f>F596*6</f>
        <v>78</v>
      </c>
      <c r="P596">
        <f>K596-L596+M596-N596-O596</f>
        <v>13930.74</v>
      </c>
      <c r="R596">
        <f>G596/F596</f>
        <v>63.84615384615385</v>
      </c>
    </row>
    <row r="597">
      <c r="A597">
        <v>585</v>
      </c>
      <c r="B597" t="str">
        <v>10*02*2026</v>
      </c>
      <c r="C597" t="str">
        <v>SANDEEP</v>
      </c>
      <c r="D597" t="str">
        <v>GOPAHALLI</v>
      </c>
      <c r="E597">
        <v>9916288533</v>
      </c>
      <c r="F597">
        <v>35</v>
      </c>
      <c r="G597">
        <v>2030</v>
      </c>
      <c r="H597">
        <f>G597*3/100</f>
        <v>60.9</v>
      </c>
      <c r="I597">
        <f>G597-H597</f>
        <v>1969.1</v>
      </c>
      <c r="J597">
        <v>17</v>
      </c>
      <c r="K597">
        <f>I597*J597</f>
        <v>33474.7</v>
      </c>
      <c r="L597">
        <f>F597*6</f>
        <v>210</v>
      </c>
      <c r="P597">
        <f>K597-L597+M597-N597-O597</f>
        <v>33264.7</v>
      </c>
      <c r="R597">
        <f>G597/F597</f>
        <v>58</v>
      </c>
    </row>
    <row r="598">
      <c r="A598">
        <v>586</v>
      </c>
      <c r="B598" t="str">
        <v>10*02*2026</v>
      </c>
      <c r="C598" t="str">
        <v>RAVIKUMAR</v>
      </c>
      <c r="D598" t="str">
        <v>GOPAHALLI</v>
      </c>
      <c r="E598">
        <v>9686630636</v>
      </c>
      <c r="F598">
        <v>58</v>
      </c>
      <c r="G598">
        <v>3400</v>
      </c>
      <c r="H598">
        <f>G598*3/100</f>
        <v>102</v>
      </c>
      <c r="I598">
        <f>G598-H598</f>
        <v>3298</v>
      </c>
      <c r="J598">
        <v>17</v>
      </c>
      <c r="K598">
        <f>I598*J598</f>
        <v>56066</v>
      </c>
      <c r="L598">
        <f>F598*6</f>
        <v>348</v>
      </c>
      <c r="P598">
        <f>K598-L598+M598-N598-O598</f>
        <v>55718</v>
      </c>
      <c r="R598">
        <f>G598/F598</f>
        <v>58.62068965517241</v>
      </c>
    </row>
    <row r="599">
      <c r="A599">
        <v>587</v>
      </c>
      <c r="B599" t="str">
        <v>10*02*2026</v>
      </c>
      <c r="C599" t="str">
        <v>NARASIMAPPA</v>
      </c>
      <c r="D599" t="str">
        <v>HANUMASAGARA</v>
      </c>
      <c r="E599">
        <v>9686020890</v>
      </c>
      <c r="F599">
        <v>80</v>
      </c>
      <c r="G599">
        <v>4610</v>
      </c>
      <c r="H599">
        <f>G599*3/100</f>
        <v>138.3</v>
      </c>
      <c r="I599">
        <f>G599-H599</f>
        <v>4471.7</v>
      </c>
      <c r="J599">
        <v>17</v>
      </c>
      <c r="K599">
        <f>I599*J599</f>
        <v>76018.9</v>
      </c>
      <c r="L599">
        <f>F599*6</f>
        <v>480</v>
      </c>
      <c r="P599">
        <f>K599-L599+M599-N599-O599</f>
        <v>75538.9</v>
      </c>
      <c r="R599">
        <f>G599/F599</f>
        <v>57.625</v>
      </c>
    </row>
    <row r="600">
      <c r="A600">
        <v>588</v>
      </c>
      <c r="B600" t="str">
        <v>10*02*2026</v>
      </c>
      <c r="C600" t="str">
        <v>BASANNA</v>
      </c>
      <c r="D600" t="str">
        <v>HANUMASAGARA</v>
      </c>
      <c r="E600">
        <v>9632022139</v>
      </c>
      <c r="F600">
        <v>201</v>
      </c>
      <c r="G600">
        <v>11900</v>
      </c>
      <c r="H600">
        <f>G600*3/100</f>
        <v>357</v>
      </c>
      <c r="I600">
        <f>G600-H600</f>
        <v>11543</v>
      </c>
      <c r="J600">
        <v>17.8</v>
      </c>
      <c r="K600">
        <f>I600*J600</f>
        <v>205465.4</v>
      </c>
      <c r="L600">
        <f>F600*6</f>
        <v>1206</v>
      </c>
      <c r="P600">
        <f>K600-L600+M600-N600-O600</f>
        <v>204259.4</v>
      </c>
      <c r="R600">
        <f>G600/F600</f>
        <v>59.20398009950249</v>
      </c>
    </row>
    <row r="601">
      <c r="A601">
        <v>589</v>
      </c>
      <c r="B601" t="str">
        <v>10*02*2026</v>
      </c>
      <c r="C601" t="str">
        <v>THIMAPPA</v>
      </c>
      <c r="D601" t="str">
        <v>HANUMASAGARA</v>
      </c>
      <c r="E601">
        <v>7338548637</v>
      </c>
      <c r="F601">
        <v>37</v>
      </c>
      <c r="G601">
        <v>2190</v>
      </c>
      <c r="H601">
        <f>G601*3/100</f>
        <v>65.7</v>
      </c>
      <c r="I601">
        <f>G601-H601</f>
        <v>2124.3</v>
      </c>
      <c r="J601">
        <v>17</v>
      </c>
      <c r="K601">
        <f>I601*J601</f>
        <v>36113.100000000006</v>
      </c>
      <c r="L601">
        <f>F601*6</f>
        <v>222</v>
      </c>
      <c r="P601">
        <f>K601-L601+M601-N601-O601</f>
        <v>35891.100000000006</v>
      </c>
      <c r="R601">
        <f>G601/F601</f>
        <v>59.189189189189186</v>
      </c>
    </row>
    <row r="602">
      <c r="A602">
        <v>590</v>
      </c>
      <c r="B602" t="str">
        <v>10*02*2026</v>
      </c>
      <c r="C602" t="str">
        <v>RAJAPPA</v>
      </c>
      <c r="D602" t="str">
        <v>HANUMASAGARA</v>
      </c>
      <c r="E602">
        <v>9483219539</v>
      </c>
      <c r="F602">
        <v>62</v>
      </c>
      <c r="G602">
        <v>3470</v>
      </c>
      <c r="H602">
        <f>G602*3/100</f>
        <v>104.1</v>
      </c>
      <c r="I602">
        <f>G602-H602</f>
        <v>3365.9</v>
      </c>
      <c r="J602">
        <v>17</v>
      </c>
      <c r="K602">
        <f>I602*J602</f>
        <v>57220.3</v>
      </c>
      <c r="L602">
        <f>F602*6</f>
        <v>372</v>
      </c>
      <c r="P602">
        <f>K602-L602+M602-N602-O602</f>
        <v>56848.3</v>
      </c>
      <c r="R602">
        <f>G602/F602</f>
        <v>55.96774193548387</v>
      </c>
    </row>
    <row r="603">
      <c r="A603">
        <v>591</v>
      </c>
      <c r="B603" t="str">
        <v>10*02*2026</v>
      </c>
      <c r="C603" t="str">
        <v>HALESH</v>
      </c>
      <c r="D603" t="str">
        <v>HANUMASAGARA</v>
      </c>
      <c r="E603">
        <v>9632960760</v>
      </c>
      <c r="F603">
        <v>37</v>
      </c>
      <c r="G603">
        <v>2120</v>
      </c>
      <c r="H603">
        <f>G603*3/100</f>
        <v>63.6</v>
      </c>
      <c r="I603">
        <f>G603-H603</f>
        <v>2056.4</v>
      </c>
      <c r="J603">
        <v>17</v>
      </c>
      <c r="K603">
        <f>I603*J603</f>
        <v>34958.8</v>
      </c>
      <c r="L603">
        <f>F603*6</f>
        <v>222</v>
      </c>
      <c r="P603">
        <f>K603-L603+M603-N603-O603</f>
        <v>34736.8</v>
      </c>
      <c r="R603">
        <f>G604/F604</f>
        <v>54.680851063829785</v>
      </c>
    </row>
    <row r="604">
      <c r="A604">
        <v>592</v>
      </c>
      <c r="B604" t="str">
        <v>10*02*2026</v>
      </c>
      <c r="C604" t="str">
        <v>PARAMESHAPPA</v>
      </c>
      <c r="D604" t="str">
        <v>HANUMASAGARA</v>
      </c>
      <c r="E604">
        <v>8861412182</v>
      </c>
      <c r="F604">
        <v>47</v>
      </c>
      <c r="G604">
        <v>2570</v>
      </c>
      <c r="H604">
        <f>G604*3/100</f>
        <v>77.1</v>
      </c>
      <c r="I604">
        <f>G604-H604</f>
        <v>2492.9</v>
      </c>
      <c r="J604">
        <v>17</v>
      </c>
      <c r="K604">
        <f>I604*J604</f>
        <v>42379.3</v>
      </c>
      <c r="L604">
        <f>F604*6</f>
        <v>282</v>
      </c>
      <c r="P604">
        <f>K604-L604+M604-N604-O604</f>
        <v>42097.3</v>
      </c>
      <c r="R604">
        <f>G605/F605</f>
        <v>50.476190476190474</v>
      </c>
    </row>
    <row r="605">
      <c r="A605">
        <v>593</v>
      </c>
      <c r="B605" t="str">
        <v>10*02*2026</v>
      </c>
      <c r="C605" t="str">
        <v>ABHI</v>
      </c>
      <c r="D605" t="str">
        <v>HANUMASAGARA</v>
      </c>
      <c r="E605">
        <v>7625010172</v>
      </c>
      <c r="F605">
        <v>21</v>
      </c>
      <c r="G605">
        <v>1060</v>
      </c>
      <c r="H605">
        <f>G605*3/100</f>
        <v>31.8</v>
      </c>
      <c r="I605">
        <f>G605-H605</f>
        <v>1028.2</v>
      </c>
      <c r="J605">
        <v>16.8</v>
      </c>
      <c r="K605">
        <f>I605*J605</f>
        <v>17273.760000000002</v>
      </c>
      <c r="L605">
        <f>F605*6</f>
        <v>126</v>
      </c>
      <c r="P605">
        <f>K605-L605+M605-N605-O605</f>
        <v>17147.760000000002</v>
      </c>
      <c r="R605">
        <f>G606/F606</f>
        <v>55.5</v>
      </c>
    </row>
    <row r="606">
      <c r="A606">
        <v>594</v>
      </c>
      <c r="B606" t="str">
        <v>10*02*2026</v>
      </c>
      <c r="C606" t="str">
        <v>SURUSH</v>
      </c>
      <c r="D606" t="str">
        <v>HANUMASAGARA</v>
      </c>
      <c r="E606">
        <v>8197678022</v>
      </c>
      <c r="F606">
        <v>40</v>
      </c>
      <c r="G606">
        <v>2220</v>
      </c>
      <c r="H606">
        <f>G606*3/100</f>
        <v>66.6</v>
      </c>
      <c r="I606">
        <f>G606-H606</f>
        <v>2153.4</v>
      </c>
      <c r="J606">
        <v>17</v>
      </c>
      <c r="K606">
        <f>I606*J606</f>
        <v>36607.8</v>
      </c>
      <c r="L606">
        <f>F606*6</f>
        <v>240</v>
      </c>
      <c r="P606">
        <f>K606-L606+M606-N606-O606</f>
        <v>36367.8</v>
      </c>
      <c r="R606">
        <f>G607/F607</f>
        <v>56.95652173913044</v>
      </c>
    </row>
    <row r="607">
      <c r="A607">
        <v>595</v>
      </c>
      <c r="B607" t="str">
        <v>10*02*2026</v>
      </c>
      <c r="C607" t="str">
        <v>MANJAPPA</v>
      </c>
      <c r="D607" t="str">
        <v>HANUMASAGARA</v>
      </c>
      <c r="E607">
        <v>9731877049</v>
      </c>
      <c r="F607">
        <v>69</v>
      </c>
      <c r="G607">
        <v>3930</v>
      </c>
      <c r="H607">
        <f>G607*3/100</f>
        <v>117.9</v>
      </c>
      <c r="I607">
        <f>G607-H607</f>
        <v>3812.1</v>
      </c>
      <c r="J607">
        <v>17</v>
      </c>
      <c r="K607">
        <f>I607*J607</f>
        <v>64805.7</v>
      </c>
      <c r="L607">
        <f>F607*6</f>
        <v>414</v>
      </c>
      <c r="P607">
        <f>K607-L607+M607-N607-O607</f>
        <v>64391.7</v>
      </c>
      <c r="R607">
        <f>G607/F607</f>
        <v>56.95652173913044</v>
      </c>
    </row>
    <row r="608">
      <c r="A608">
        <v>596</v>
      </c>
      <c r="B608" t="str">
        <v>10*02*2026</v>
      </c>
      <c r="C608" t="str">
        <v>RAVI KUMAR</v>
      </c>
      <c r="D608" t="str">
        <v>BALESHWARA</v>
      </c>
      <c r="E608">
        <v>9731877049</v>
      </c>
      <c r="F608">
        <v>57</v>
      </c>
      <c r="G608">
        <v>3280</v>
      </c>
      <c r="H608">
        <f>G608*3/100</f>
        <v>98.4</v>
      </c>
      <c r="I608">
        <f>G608-H608</f>
        <v>3181.6</v>
      </c>
      <c r="J608">
        <v>17</v>
      </c>
      <c r="K608">
        <f>I608*J608</f>
        <v>54087.2</v>
      </c>
      <c r="L608">
        <f>F608*6</f>
        <v>342</v>
      </c>
      <c r="P608">
        <f>K608-L608+M608-N608-O608</f>
        <v>53745.2</v>
      </c>
      <c r="R608">
        <f>G608/F608</f>
        <v>57.54385964912281</v>
      </c>
    </row>
    <row r="609">
      <c r="A609">
        <v>597</v>
      </c>
      <c r="B609" t="str">
        <v>11*02*2026</v>
      </c>
      <c r="C609" t="str">
        <v>RAMESH</v>
      </c>
      <c r="D609" t="str">
        <v>BALESHWARA</v>
      </c>
      <c r="E609">
        <v>8123899868</v>
      </c>
      <c r="F609">
        <v>77</v>
      </c>
      <c r="G609">
        <v>4350</v>
      </c>
      <c r="H609">
        <f>G609*3/100</f>
        <v>130.5</v>
      </c>
      <c r="I609">
        <f>G609-H609</f>
        <v>4219.5</v>
      </c>
      <c r="J609">
        <v>17</v>
      </c>
      <c r="K609">
        <f>I609*J609</f>
        <v>71731.5</v>
      </c>
      <c r="L609">
        <f>F609*6</f>
        <v>462</v>
      </c>
      <c r="P609">
        <f>K609-L609+M609-N609-O609</f>
        <v>71269.5</v>
      </c>
      <c r="R609">
        <f>G609/F609</f>
        <v>56.493506493506494</v>
      </c>
    </row>
    <row r="610">
      <c r="A610">
        <v>598</v>
      </c>
      <c r="B610" t="str">
        <v>11*02*2026</v>
      </c>
      <c r="C610" t="str">
        <v>CHANDRAPPA</v>
      </c>
      <c r="D610" t="str">
        <v>HANUMASAGARA</v>
      </c>
      <c r="E610">
        <v>7899449317</v>
      </c>
      <c r="F610">
        <v>82</v>
      </c>
      <c r="G610">
        <v>4050</v>
      </c>
      <c r="H610">
        <f>G610*3/100</f>
        <v>121.5</v>
      </c>
      <c r="I610">
        <f>G610-H610</f>
        <v>3928.5</v>
      </c>
      <c r="J610">
        <v>17</v>
      </c>
      <c r="K610">
        <f>I610*J610</f>
        <v>66784.5</v>
      </c>
      <c r="L610">
        <f>F610*6</f>
        <v>492</v>
      </c>
      <c r="P610">
        <f>K610-L610+M610-N610-O610</f>
        <v>66292.5</v>
      </c>
      <c r="R610">
        <f>G610/F610</f>
        <v>49.390243902439025</v>
      </c>
    </row>
    <row r="611">
      <c r="A611">
        <v>599</v>
      </c>
      <c r="B611" t="str">
        <v>11*02*2026</v>
      </c>
      <c r="C611" t="str">
        <v>HALESH</v>
      </c>
      <c r="D611" t="str">
        <v>HANUMASAGARA</v>
      </c>
      <c r="E611">
        <v>9739003710</v>
      </c>
      <c r="F611">
        <v>82</v>
      </c>
      <c r="G611">
        <v>5300</v>
      </c>
      <c r="H611">
        <f>G611*3/100</f>
        <v>159</v>
      </c>
      <c r="I611">
        <f>G611-H611</f>
        <v>5141</v>
      </c>
      <c r="J611">
        <v>17</v>
      </c>
      <c r="K611">
        <f>I611*J611</f>
        <v>87397</v>
      </c>
      <c r="L611">
        <f>F611*6</f>
        <v>492</v>
      </c>
      <c r="P611">
        <f>K611-L611+M611-N611-O611</f>
        <v>86905</v>
      </c>
      <c r="R611">
        <f>G611/F611</f>
        <v>64.63414634146342</v>
      </c>
    </row>
    <row r="612">
      <c r="A612">
        <v>600</v>
      </c>
      <c r="B612" t="str">
        <v>11*02*2026</v>
      </c>
      <c r="C612" t="str">
        <v>HANUMAMTHA</v>
      </c>
      <c r="D612" t="str">
        <v>KABBAR</v>
      </c>
      <c r="E612">
        <v>6361037794</v>
      </c>
      <c r="F612">
        <v>82</v>
      </c>
      <c r="G612">
        <v>5210</v>
      </c>
      <c r="H612">
        <f>G612*3/100</f>
        <v>156.3</v>
      </c>
      <c r="I612">
        <f>G612-H612</f>
        <v>5053.7</v>
      </c>
      <c r="J612">
        <v>17</v>
      </c>
      <c r="K612">
        <f>I612*J612</f>
        <v>85912.9</v>
      </c>
      <c r="L612">
        <f>F612*6</f>
        <v>492</v>
      </c>
      <c r="P612">
        <f>K612-L612+M612-N612-O612</f>
        <v>85420.9</v>
      </c>
      <c r="R612">
        <f>G612/F612</f>
        <v>63.53658536585366</v>
      </c>
    </row>
    <row r="613">
      <c r="A613">
        <v>601</v>
      </c>
      <c r="B613" t="str">
        <v>11*02*2026</v>
      </c>
      <c r="C613" t="str">
        <v>HARISH</v>
      </c>
      <c r="D613" t="str">
        <v>KABBAR</v>
      </c>
      <c r="E613">
        <v>7975652379</v>
      </c>
      <c r="F613">
        <v>31</v>
      </c>
      <c r="G613">
        <v>1690</v>
      </c>
      <c r="H613">
        <f>G613*3/100</f>
        <v>50.7</v>
      </c>
      <c r="I613">
        <f>G613-H613</f>
        <v>1639.3</v>
      </c>
      <c r="J613">
        <v>17</v>
      </c>
      <c r="K613">
        <f>I613*J613</f>
        <v>27868.1</v>
      </c>
      <c r="L613">
        <f>F613*6</f>
        <v>186</v>
      </c>
      <c r="P613">
        <f>K613-L613+M613-N613-O613</f>
        <v>27682.1</v>
      </c>
      <c r="R613">
        <f>G613/F613</f>
        <v>54.516129032258064</v>
      </c>
    </row>
    <row r="614">
      <c r="A614">
        <v>602</v>
      </c>
      <c r="B614" t="str">
        <v>11*02*2026</v>
      </c>
      <c r="C614" t="str">
        <v>HARISH</v>
      </c>
      <c r="D614" t="str">
        <v>KABBAR</v>
      </c>
      <c r="E614">
        <v>7975652379</v>
      </c>
      <c r="F614">
        <v>46</v>
      </c>
      <c r="G614">
        <v>2590</v>
      </c>
      <c r="H614">
        <f>G614*3/100</f>
        <v>77.7</v>
      </c>
      <c r="I614">
        <f>G614-H614</f>
        <v>2512.3</v>
      </c>
      <c r="J614">
        <v>17</v>
      </c>
      <c r="K614">
        <f>I614*J614</f>
        <v>42709.100000000006</v>
      </c>
      <c r="L614">
        <f>F614*6</f>
        <v>276</v>
      </c>
      <c r="P614">
        <f>K614-L614+M614-N614-O614</f>
        <v>42433.100000000006</v>
      </c>
      <c r="R614">
        <f>G615/F615</f>
        <v>57.25806451612903</v>
      </c>
    </row>
    <row r="615">
      <c r="A615">
        <v>603</v>
      </c>
      <c r="B615" t="str">
        <v>12*02*2026</v>
      </c>
      <c r="C615" t="str">
        <v>HANUMATHAPPA</v>
      </c>
      <c r="D615" t="str">
        <v>KABBAR</v>
      </c>
      <c r="E615">
        <v>7760484698</v>
      </c>
      <c r="F615">
        <v>62</v>
      </c>
      <c r="G615">
        <v>3550</v>
      </c>
      <c r="H615">
        <f>G615*3/100</f>
        <v>106.5</v>
      </c>
      <c r="I615">
        <f>G615-H615</f>
        <v>3443.5</v>
      </c>
      <c r="J615">
        <v>17</v>
      </c>
      <c r="K615">
        <f>I615*J615</f>
        <v>58539.5</v>
      </c>
      <c r="L615">
        <f>F615*6</f>
        <v>372</v>
      </c>
      <c r="P615">
        <f>K615-L615+M615-N615-O615</f>
        <v>58167.5</v>
      </c>
      <c r="R615">
        <f>G616/F616</f>
        <v>56.81818181818182</v>
      </c>
    </row>
    <row r="616">
      <c r="A616">
        <v>604</v>
      </c>
      <c r="B616" t="str">
        <v>12*02*2026</v>
      </c>
      <c r="C616" t="str">
        <v>CHANDRU GOWDA</v>
      </c>
      <c r="D616" t="str">
        <v>CHIKKABAR</v>
      </c>
      <c r="E616">
        <v>9901701910</v>
      </c>
      <c r="F616">
        <v>132</v>
      </c>
      <c r="G616">
        <v>7500</v>
      </c>
      <c r="H616">
        <f>G616*3/100</f>
        <v>225</v>
      </c>
      <c r="I616">
        <f>G616-H616</f>
        <v>7275</v>
      </c>
      <c r="J616">
        <v>17.3</v>
      </c>
      <c r="K616">
        <f>I616*J616</f>
        <v>125857.5</v>
      </c>
      <c r="L616">
        <f>F616*6</f>
        <v>792</v>
      </c>
      <c r="P616">
        <f>K616-L616+M616-N616-O616</f>
        <v>125065.5</v>
      </c>
      <c r="R616">
        <f>G617/F617</f>
        <v>54.41860465116279</v>
      </c>
    </row>
    <row r="617">
      <c r="A617">
        <v>605</v>
      </c>
      <c r="B617" t="str">
        <v>12*02*2026</v>
      </c>
      <c r="C617" t="str">
        <v>BIRAPPA</v>
      </c>
      <c r="D617" t="str">
        <v>CHIKABBAR</v>
      </c>
      <c r="E617">
        <v>9901701910</v>
      </c>
      <c r="F617">
        <v>43</v>
      </c>
      <c r="G617">
        <v>2340</v>
      </c>
      <c r="H617">
        <f>G617*3/100</f>
        <v>70.2</v>
      </c>
      <c r="I617">
        <f>G617-H617</f>
        <v>2269.8</v>
      </c>
      <c r="J617">
        <v>17</v>
      </c>
      <c r="K617">
        <f>I617*J617</f>
        <v>38586.600000000006</v>
      </c>
      <c r="L617">
        <f>F617*6</f>
        <v>258</v>
      </c>
      <c r="P617">
        <f>K617-L617+M617-N617-O617</f>
        <v>38328.600000000006</v>
      </c>
      <c r="R617">
        <f>G618/F618</f>
        <v>56.08695652173913</v>
      </c>
    </row>
    <row r="618">
      <c r="A618">
        <v>606</v>
      </c>
      <c r="B618" t="str">
        <v>12*02*2026</v>
      </c>
      <c r="C618" t="str">
        <v>C RAVI</v>
      </c>
      <c r="D618" t="str">
        <v>HONNALI</v>
      </c>
      <c r="E618">
        <v>9902990805</v>
      </c>
      <c r="F618">
        <v>46</v>
      </c>
      <c r="G618">
        <v>2580</v>
      </c>
      <c r="H618">
        <f>G618*3/100</f>
        <v>77.4</v>
      </c>
      <c r="I618">
        <f>G618-H618</f>
        <v>2502.6</v>
      </c>
      <c r="J618">
        <v>17</v>
      </c>
      <c r="K618">
        <f>I618*J618</f>
        <v>42544.2</v>
      </c>
      <c r="L618">
        <f>F618*6</f>
        <v>276</v>
      </c>
      <c r="P618">
        <f>K618-L618+M618-N618-O618</f>
        <v>42268.2</v>
      </c>
      <c r="R618">
        <f>G618/F618</f>
        <v>56.08695652173913</v>
      </c>
    </row>
    <row r="619">
      <c r="A619">
        <v>607</v>
      </c>
      <c r="B619" t="str">
        <v>12*02*2026</v>
      </c>
      <c r="C619" t="str">
        <v>RANGAPPA</v>
      </c>
      <c r="D619" t="str">
        <v>THRHALLI</v>
      </c>
      <c r="E619">
        <v>9108665857</v>
      </c>
      <c r="F619">
        <v>130</v>
      </c>
      <c r="G619">
        <v>7330</v>
      </c>
      <c r="H619">
        <f>G619*3/100</f>
        <v>219.9</v>
      </c>
      <c r="I619">
        <f>G619-H619</f>
        <v>7110.1</v>
      </c>
      <c r="J619">
        <v>17</v>
      </c>
      <c r="K619">
        <f>I619*J619</f>
        <v>120871.70000000001</v>
      </c>
      <c r="L619">
        <f>F619*6</f>
        <v>780</v>
      </c>
      <c r="P619">
        <f>K619-L619+M619-N619-O619</f>
        <v>120091.70000000001</v>
      </c>
      <c r="R619">
        <f>G619/F619</f>
        <v>56.38461538461539</v>
      </c>
    </row>
    <row r="620">
      <c r="A620">
        <v>608</v>
      </c>
      <c r="B620" t="str">
        <v>12*02*2026</v>
      </c>
      <c r="C620" t="str">
        <v>SHANKARA</v>
      </c>
      <c r="D620" t="str">
        <v>THIMALAPURA</v>
      </c>
      <c r="E620">
        <v>9980290085</v>
      </c>
      <c r="F620">
        <v>89</v>
      </c>
      <c r="G620">
        <v>4920</v>
      </c>
      <c r="H620">
        <f>G620*3/100</f>
        <v>147.6</v>
      </c>
      <c r="I620">
        <f>G620-H620</f>
        <v>4772.4</v>
      </c>
      <c r="J620">
        <v>17</v>
      </c>
      <c r="K620">
        <f>I620*J620</f>
        <v>81130.79999999999</v>
      </c>
      <c r="L620">
        <f>F620*6</f>
        <v>534</v>
      </c>
      <c r="P620">
        <f>K620-L620+M620-N620-O620</f>
        <v>80596.79999999999</v>
      </c>
      <c r="R620">
        <f>G620/F620</f>
        <v>55.28089887640449</v>
      </c>
    </row>
    <row r="621">
      <c r="A621">
        <v>609</v>
      </c>
      <c r="B621" t="str">
        <v>12*02*2026</v>
      </c>
      <c r="C621" t="str">
        <v>NAGA</v>
      </c>
      <c r="D621" t="str">
        <v>MADANBAVI</v>
      </c>
      <c r="E621">
        <v>8073121537</v>
      </c>
      <c r="F621">
        <v>19</v>
      </c>
      <c r="G621">
        <v>1130</v>
      </c>
      <c r="H621">
        <f>G621*3/100</f>
        <v>33.9</v>
      </c>
      <c r="I621">
        <f>G621-H621</f>
        <v>1096.1</v>
      </c>
      <c r="J621">
        <v>17</v>
      </c>
      <c r="K621">
        <f>I621*J621</f>
        <v>18633.699999999997</v>
      </c>
      <c r="L621">
        <f>F621*6</f>
        <v>114</v>
      </c>
      <c r="P621">
        <f>K621-L621+M621-N621-O621</f>
        <v>18519.699999999997</v>
      </c>
      <c r="R621">
        <f>G621/F621</f>
        <v>59.473684210526315</v>
      </c>
    </row>
    <row r="622">
      <c r="A622">
        <v>610</v>
      </c>
      <c r="B622" t="str">
        <v>13*02*2026</v>
      </c>
      <c r="C622" t="str">
        <v>SWAMI</v>
      </c>
      <c r="D622" t="str">
        <v>HONNALI</v>
      </c>
      <c r="E622">
        <v>9986414053</v>
      </c>
      <c r="F622">
        <v>355</v>
      </c>
      <c r="G622">
        <v>20570</v>
      </c>
      <c r="H622">
        <f>G622*3/100</f>
        <v>617.1</v>
      </c>
      <c r="I622">
        <f>G622-H622</f>
        <v>19952.9</v>
      </c>
      <c r="J622">
        <v>17.1</v>
      </c>
      <c r="K622">
        <f>I622*J622</f>
        <v>341194.59</v>
      </c>
      <c r="L622">
        <f>F622*6</f>
        <v>2130</v>
      </c>
      <c r="P622">
        <f>K622-L622+M622-N622-O622</f>
        <v>339064.59</v>
      </c>
      <c r="R622">
        <f>G622/F622</f>
        <v>57.943661971830984</v>
      </c>
    </row>
    <row r="623">
      <c r="A623">
        <v>611</v>
      </c>
      <c r="B623" t="str">
        <v>13*02*2026</v>
      </c>
      <c r="C623" t="str">
        <v>THMANNA</v>
      </c>
      <c r="D623" t="str">
        <v>HANUMASAGARA</v>
      </c>
      <c r="E623">
        <v>9449357153</v>
      </c>
      <c r="F623">
        <v>155</v>
      </c>
      <c r="G623">
        <v>8430</v>
      </c>
      <c r="H623">
        <f>G623*3/100</f>
        <v>252.9</v>
      </c>
      <c r="I623">
        <f>G623-H623</f>
        <v>8177.1</v>
      </c>
      <c r="J623">
        <v>17.2</v>
      </c>
      <c r="K623">
        <f>I623*J623</f>
        <v>140646.12</v>
      </c>
      <c r="L623">
        <f>F623*6</f>
        <v>930</v>
      </c>
      <c r="P623">
        <f>K623-L623+M623-N623-O623</f>
        <v>139716.12</v>
      </c>
      <c r="R623">
        <f>G623/F623</f>
        <v>54.38709677419355</v>
      </c>
    </row>
    <row r="624">
      <c r="A624">
        <v>612</v>
      </c>
      <c r="B624" t="str">
        <v>13*02*2026</v>
      </c>
      <c r="C624" t="str">
        <v>NAGARAJ</v>
      </c>
      <c r="D624" t="str">
        <v>SIGATAGERE</v>
      </c>
      <c r="E624">
        <v>8762142314</v>
      </c>
      <c r="F624">
        <v>38</v>
      </c>
      <c r="G624">
        <v>2160</v>
      </c>
      <c r="H624">
        <f>G624*3/100</f>
        <v>64.8</v>
      </c>
      <c r="I624">
        <f>G624-H624</f>
        <v>2095.2</v>
      </c>
      <c r="J624">
        <v>17</v>
      </c>
      <c r="K624">
        <f>I624*J624</f>
        <v>35618.399999999994</v>
      </c>
      <c r="L624">
        <f>F624*6</f>
        <v>228</v>
      </c>
      <c r="P624">
        <f>K624-L624+M624-N624-O624</f>
        <v>35390.399999999994</v>
      </c>
      <c r="R624">
        <f>G624/F624</f>
        <v>56.8421052631579</v>
      </c>
    </row>
    <row r="625">
      <c r="A625">
        <v>613</v>
      </c>
      <c r="B625" t="str">
        <v>13*02*2026</v>
      </c>
      <c r="C625" t="str">
        <v>DEVRAJ</v>
      </c>
      <c r="D625" t="str">
        <v>SIGATAGERE</v>
      </c>
      <c r="E625">
        <v>9731745239</v>
      </c>
      <c r="F625">
        <v>109</v>
      </c>
      <c r="G625">
        <v>6180</v>
      </c>
      <c r="H625">
        <f>G625*3/100</f>
        <v>185.4</v>
      </c>
      <c r="I625">
        <f>G625-H625</f>
        <v>5994.6</v>
      </c>
      <c r="J625">
        <v>17</v>
      </c>
      <c r="K625">
        <f>I625*J625</f>
        <v>101908.20000000001</v>
      </c>
      <c r="L625">
        <f>F625*6</f>
        <v>654</v>
      </c>
      <c r="P625">
        <f>K625-L625+M625-N625-O625</f>
        <v>101254.20000000001</v>
      </c>
      <c r="R625">
        <f>G626/F626</f>
        <v>55.79710144927536</v>
      </c>
    </row>
    <row r="626">
      <c r="A626">
        <v>614</v>
      </c>
      <c r="B626" t="str">
        <v>13*02*2026</v>
      </c>
      <c r="C626" t="str">
        <v>RAMESH</v>
      </c>
      <c r="D626" t="str">
        <v>KABBAR</v>
      </c>
      <c r="E626">
        <v>7353030403</v>
      </c>
      <c r="F626">
        <v>69</v>
      </c>
      <c r="G626">
        <v>3850</v>
      </c>
      <c r="H626">
        <f>G626*3/100</f>
        <v>115.5</v>
      </c>
      <c r="I626">
        <f>G626-H626</f>
        <v>3734.5</v>
      </c>
      <c r="J626">
        <v>17</v>
      </c>
      <c r="K626">
        <f>I626*J626</f>
        <v>63486.5</v>
      </c>
      <c r="L626">
        <f>F626*6</f>
        <v>414</v>
      </c>
      <c r="P626">
        <f>K626-L626+M626-N626-O626</f>
        <v>63072.5</v>
      </c>
      <c r="R626">
        <f>G627/F627</f>
        <v>55.05494505494506</v>
      </c>
    </row>
    <row r="627">
      <c r="A627">
        <v>615</v>
      </c>
      <c r="B627" t="str">
        <v>13*02*2026</v>
      </c>
      <c r="C627" t="str">
        <v>LALUTAMMA</v>
      </c>
      <c r="D627" t="str">
        <v>KABBAR</v>
      </c>
      <c r="E627">
        <v>73530304030</v>
      </c>
      <c r="F627">
        <v>91</v>
      </c>
      <c r="G627">
        <v>5010</v>
      </c>
      <c r="H627">
        <f>G627*3/100</f>
        <v>150.3</v>
      </c>
      <c r="I627">
        <f>G627-H627</f>
        <v>4859.7</v>
      </c>
      <c r="J627">
        <v>17</v>
      </c>
      <c r="K627">
        <f>I627*J627</f>
        <v>82614.9</v>
      </c>
      <c r="L627">
        <f>F627*6</f>
        <v>546</v>
      </c>
      <c r="P627">
        <f>K627-L627+M627-N627-O627</f>
        <v>82068.9</v>
      </c>
      <c r="R627">
        <f>G628/F628</f>
        <v>58.57142857142857</v>
      </c>
    </row>
    <row r="628">
      <c r="A628">
        <v>616</v>
      </c>
      <c r="B628" t="str">
        <v>13*02*2026</v>
      </c>
      <c r="C628" t="str">
        <v>PRAMESHAPPA</v>
      </c>
      <c r="D628" t="str">
        <v>THARHALLI</v>
      </c>
      <c r="E628">
        <v>8105595679</v>
      </c>
      <c r="F628">
        <v>28</v>
      </c>
      <c r="G628">
        <v>1640</v>
      </c>
      <c r="H628">
        <f>G628*3/100</f>
        <v>49.2</v>
      </c>
      <c r="I628">
        <f>G628-H628</f>
        <v>1590.8</v>
      </c>
      <c r="J628">
        <v>18.5</v>
      </c>
      <c r="K628">
        <f>I628*J628</f>
        <v>29429.8</v>
      </c>
      <c r="L628">
        <f>F628*6</f>
        <v>168</v>
      </c>
      <c r="P628">
        <v>30000</v>
      </c>
      <c r="R628">
        <f>G628/F628</f>
        <v>58.57142857142857</v>
      </c>
    </row>
    <row r="629">
      <c r="A629">
        <v>617</v>
      </c>
      <c r="B629" t="str">
        <v>14*02*2026</v>
      </c>
      <c r="C629" t="str">
        <v>THIMMESH</v>
      </c>
      <c r="D629" t="str">
        <v>HANUMASAGARA</v>
      </c>
      <c r="E629">
        <v>9845444678</v>
      </c>
      <c r="F629">
        <v>285</v>
      </c>
      <c r="G629">
        <v>16450</v>
      </c>
      <c r="H629">
        <f>G629*3/100</f>
        <v>493.5</v>
      </c>
      <c r="I629">
        <f>G629-H629</f>
        <v>15956.5</v>
      </c>
      <c r="J629">
        <v>17.2</v>
      </c>
      <c r="K629">
        <f>I629*J629</f>
        <v>274451.8</v>
      </c>
      <c r="L629">
        <f>F629*6</f>
        <v>1710</v>
      </c>
      <c r="P629">
        <f>K629-L629+M629-N629-O629</f>
        <v>272741.8</v>
      </c>
      <c r="R629">
        <f>G629/F629</f>
        <v>57.719298245614034</v>
      </c>
    </row>
    <row r="630">
      <c r="A630">
        <v>618</v>
      </c>
      <c r="B630" t="str">
        <v>14*02*2026</v>
      </c>
      <c r="C630" t="str">
        <v>BASAVARAJAPPA</v>
      </c>
      <c r="D630" t="str">
        <v>HANUMASAGARA</v>
      </c>
      <c r="E630">
        <v>9845444678</v>
      </c>
      <c r="F630">
        <v>52</v>
      </c>
      <c r="G630">
        <v>2910</v>
      </c>
      <c r="H630">
        <f>G630*3/100</f>
        <v>87.3</v>
      </c>
      <c r="I630">
        <f>G630-H630</f>
        <v>2822.7</v>
      </c>
      <c r="J630">
        <v>17.2</v>
      </c>
      <c r="K630">
        <f>I630*J630</f>
        <v>48550.439999999995</v>
      </c>
      <c r="L630">
        <f>F630*6</f>
        <v>312</v>
      </c>
      <c r="P630">
        <f>K630-L630+M630-N630-O630</f>
        <v>48238.439999999995</v>
      </c>
      <c r="R630">
        <f>G630/F630</f>
        <v>55.96153846153846</v>
      </c>
    </row>
    <row r="631">
      <c r="A631">
        <v>619</v>
      </c>
      <c r="B631" t="str">
        <v>16*02*2026</v>
      </c>
      <c r="C631" t="str">
        <v xml:space="preserve">LAKSHAMAN </v>
      </c>
      <c r="D631" t="str">
        <v>HANUMASAGARA</v>
      </c>
      <c r="E631">
        <v>7795477115</v>
      </c>
      <c r="F631">
        <v>33</v>
      </c>
      <c r="G631">
        <v>1840</v>
      </c>
      <c r="H631">
        <f>G631*3/100</f>
        <v>55.2</v>
      </c>
      <c r="I631">
        <f>G631-H631</f>
        <v>1784.8</v>
      </c>
      <c r="J631">
        <v>16.8</v>
      </c>
      <c r="K631">
        <f>I631*J631</f>
        <v>29984.64</v>
      </c>
      <c r="L631">
        <f>F631*6</f>
        <v>198</v>
      </c>
      <c r="P631">
        <f>K631-L631+M631-N631-O631</f>
        <v>29786.64</v>
      </c>
      <c r="R631">
        <f>G631/F631</f>
        <v>55.75757575757576</v>
      </c>
    </row>
    <row r="632">
      <c r="A632">
        <v>620</v>
      </c>
      <c r="B632" t="str">
        <v>16*02*2026</v>
      </c>
      <c r="C632" t="str">
        <v>DAYSMAPPA</v>
      </c>
      <c r="D632" t="str">
        <v>HANUMASAGARA</v>
      </c>
      <c r="E632">
        <v>9901398501</v>
      </c>
      <c r="F632">
        <v>59</v>
      </c>
      <c r="G632">
        <v>3190</v>
      </c>
      <c r="H632">
        <f>G632*3/100</f>
        <v>95.7</v>
      </c>
      <c r="I632">
        <f>G632-H632</f>
        <v>3094.3</v>
      </c>
      <c r="J632">
        <v>16.8</v>
      </c>
      <c r="K632">
        <f>I632*J632</f>
        <v>51984.240000000005</v>
      </c>
      <c r="L632">
        <f>F632*6</f>
        <v>354</v>
      </c>
      <c r="P632">
        <f>K632-L632+M632-N632-O632</f>
        <v>51630.240000000005</v>
      </c>
      <c r="R632">
        <f>G632/F632</f>
        <v>54.067796610169495</v>
      </c>
    </row>
    <row r="633">
      <c r="A633">
        <v>621</v>
      </c>
      <c r="B633" t="str">
        <v>16*02*2026</v>
      </c>
      <c r="C633" t="str">
        <v>KIRAN</v>
      </c>
      <c r="D633" t="str">
        <v>HANUMASAGARA</v>
      </c>
      <c r="E633">
        <v>7411345951</v>
      </c>
      <c r="F633">
        <v>33</v>
      </c>
      <c r="G633">
        <v>1840</v>
      </c>
      <c r="H633">
        <f>G633*3/100</f>
        <v>55.2</v>
      </c>
      <c r="I633">
        <f>G633-H633</f>
        <v>1784.8</v>
      </c>
      <c r="J633">
        <v>16.8</v>
      </c>
      <c r="K633">
        <f>I633*J633</f>
        <v>29984.64</v>
      </c>
      <c r="L633">
        <f>F633*6</f>
        <v>198</v>
      </c>
      <c r="P633">
        <f>K633-L633+M633-N633-O633</f>
        <v>29786.64</v>
      </c>
      <c r="R633">
        <f>G634/F634</f>
        <v>56.388888888888886</v>
      </c>
    </row>
    <row r="634">
      <c r="A634">
        <v>622</v>
      </c>
      <c r="B634" t="str">
        <v>17*02*2026</v>
      </c>
      <c r="C634" t="str">
        <v>NARASMIA</v>
      </c>
      <c r="D634" t="str">
        <v>DEVARHONNALI</v>
      </c>
      <c r="F634">
        <v>72</v>
      </c>
      <c r="G634">
        <v>4060</v>
      </c>
      <c r="H634">
        <f>G634*3/100</f>
        <v>121.8</v>
      </c>
      <c r="I634">
        <f>G634-H634</f>
        <v>3938.2</v>
      </c>
      <c r="J634">
        <v>17</v>
      </c>
      <c r="K634">
        <f>I634*J634</f>
        <v>66949.4</v>
      </c>
      <c r="L634">
        <f>F634*6</f>
        <v>432</v>
      </c>
      <c r="P634">
        <f>K634-L634+M634-N634-O634</f>
        <v>66517.4</v>
      </c>
      <c r="R634">
        <f>G635/F635</f>
        <v>56.07142857142857</v>
      </c>
    </row>
    <row r="635">
      <c r="A635">
        <v>623</v>
      </c>
      <c r="B635" t="str">
        <v>17*02*2026</v>
      </c>
      <c r="C635" t="str">
        <v>CHANDRAYYA</v>
      </c>
      <c r="D635" t="str">
        <v>DEVARHONNALI</v>
      </c>
      <c r="F635">
        <v>112</v>
      </c>
      <c r="G635">
        <v>6280</v>
      </c>
      <c r="H635">
        <f>G635*3/100</f>
        <v>188.4</v>
      </c>
      <c r="I635">
        <f>G635-H635</f>
        <v>6091.6</v>
      </c>
      <c r="J635">
        <v>17</v>
      </c>
      <c r="K635">
        <f>I635*J635</f>
        <v>103557.20000000001</v>
      </c>
      <c r="L635">
        <f>F635*6</f>
        <v>672</v>
      </c>
      <c r="P635">
        <f>K635-L635+M635-N635-O635</f>
        <v>102885.20000000001</v>
      </c>
      <c r="R635">
        <f>G636/F636</f>
        <v>59.68421052631579</v>
      </c>
    </row>
    <row r="636">
      <c r="A636">
        <v>624</v>
      </c>
      <c r="B636" t="str">
        <v>18*02*2026</v>
      </c>
      <c r="C636" t="str">
        <v>MANJU</v>
      </c>
      <c r="D636" t="str">
        <v>HONNALI</v>
      </c>
      <c r="F636">
        <v>95</v>
      </c>
      <c r="G636">
        <v>5670</v>
      </c>
      <c r="H636">
        <f>G636*3/100</f>
        <v>170.1</v>
      </c>
      <c r="I636">
        <f>G636-H636</f>
        <v>5499.9</v>
      </c>
      <c r="J636">
        <v>18</v>
      </c>
      <c r="K636">
        <f>I636*J636</f>
        <v>98998.2</v>
      </c>
      <c r="L636">
        <f>F636*6</f>
        <v>570</v>
      </c>
      <c r="P636">
        <f>K636-L636+M636-N636-O636</f>
        <v>98428.2</v>
      </c>
      <c r="R636">
        <f>G636/F636</f>
        <v>59.68421052631579</v>
      </c>
    </row>
    <row r="637">
      <c r="A637">
        <v>625</v>
      </c>
      <c r="B637" t="str">
        <v>18*02*2026</v>
      </c>
      <c r="C637" t="str">
        <v>PRAMESHAPPA</v>
      </c>
      <c r="D637" t="str">
        <v>ARKERE</v>
      </c>
      <c r="F637">
        <v>89</v>
      </c>
      <c r="G637">
        <v>5030</v>
      </c>
      <c r="H637">
        <f>G637*3/100</f>
        <v>150.9</v>
      </c>
      <c r="I637">
        <f>G637-H637</f>
        <v>4879.1</v>
      </c>
      <c r="J637">
        <v>17</v>
      </c>
      <c r="K637">
        <f>I637*J637</f>
        <v>82944.70000000001</v>
      </c>
      <c r="L637">
        <f>F637*6</f>
        <v>534</v>
      </c>
      <c r="P637">
        <f>K637-L637+M637-N637-O637</f>
        <v>82410.70000000001</v>
      </c>
      <c r="R637">
        <f>G637/F637</f>
        <v>56.51685393258427</v>
      </c>
    </row>
    <row r="638">
      <c r="A638">
        <v>626</v>
      </c>
      <c r="B638" t="str">
        <v>18*02*2026</v>
      </c>
      <c r="C638" t="str">
        <v>CHNDRAPPA</v>
      </c>
      <c r="D638" t="str">
        <v>SUKADKATTE</v>
      </c>
      <c r="F638">
        <v>16</v>
      </c>
      <c r="G638">
        <v>890</v>
      </c>
      <c r="H638">
        <f>G638*3/100</f>
        <v>26.7</v>
      </c>
      <c r="I638">
        <f>G638-H638</f>
        <v>863.3</v>
      </c>
      <c r="J638">
        <v>15.5</v>
      </c>
      <c r="K638">
        <f>I638*J638</f>
        <v>13381.15</v>
      </c>
      <c r="L638">
        <f>F638*6</f>
        <v>96</v>
      </c>
      <c r="P638">
        <f>K638-L638+M638-N638-O638</f>
        <v>13285.15</v>
      </c>
      <c r="R638">
        <f>G638/F638</f>
        <v>55.625</v>
      </c>
    </row>
    <row r="639">
      <c r="A639">
        <v>627</v>
      </c>
      <c r="B639" t="str">
        <v>21*02*2026</v>
      </c>
      <c r="C639" t="str">
        <v>MAHESAPPA</v>
      </c>
      <c r="D639" t="str">
        <v>THARNAHALLI</v>
      </c>
      <c r="F639">
        <v>50</v>
      </c>
      <c r="G639">
        <v>2770</v>
      </c>
      <c r="H639">
        <f>G639*3/100</f>
        <v>83.1</v>
      </c>
      <c r="I639">
        <f>G639-H639</f>
        <v>2686.9</v>
      </c>
      <c r="J639">
        <v>16.8</v>
      </c>
      <c r="K639">
        <f>I639*J639</f>
        <v>45139.920000000006</v>
      </c>
      <c r="L639">
        <f>F639*6</f>
        <v>300</v>
      </c>
      <c r="P639">
        <f>K639-L639+M639-N639-O639</f>
        <v>44839.920000000006</v>
      </c>
      <c r="R639">
        <f>G639/F639</f>
        <v>55.4</v>
      </c>
    </row>
    <row r="640">
      <c r="A640">
        <v>628</v>
      </c>
      <c r="B640" t="str">
        <v>21*02*2026</v>
      </c>
      <c r="C640" t="str">
        <v>HALDAPPA</v>
      </c>
      <c r="D640" t="str">
        <v>BALEMALUR</v>
      </c>
      <c r="F640">
        <v>80</v>
      </c>
      <c r="G640">
        <v>4520</v>
      </c>
      <c r="H640">
        <f>G640*3/100</f>
        <v>135.6</v>
      </c>
      <c r="I640">
        <f>G640-H640</f>
        <v>4384.4</v>
      </c>
      <c r="J640">
        <v>16.9</v>
      </c>
      <c r="K640">
        <f>I640*J640</f>
        <v>74096.35999999999</v>
      </c>
      <c r="L640">
        <f>F640*6</f>
        <v>480</v>
      </c>
      <c r="P640">
        <f>K640-L640+M640-N640-O640</f>
        <v>73616.35999999999</v>
      </c>
      <c r="R640">
        <f>G640/F640</f>
        <v>56.5</v>
      </c>
    </row>
    <row r="641">
      <c r="A641">
        <v>629</v>
      </c>
      <c r="B641" t="str">
        <v>21*02*2026</v>
      </c>
      <c r="C641" t="str">
        <v>MAILAPPA</v>
      </c>
      <c r="D641" t="str">
        <v>THARNAHALLI</v>
      </c>
      <c r="F641">
        <v>91</v>
      </c>
      <c r="G641">
        <v>5150</v>
      </c>
      <c r="H641">
        <f>G641*3/100</f>
        <v>154.5</v>
      </c>
      <c r="I641">
        <f>G641-H641</f>
        <v>4995.5</v>
      </c>
      <c r="J641">
        <v>16.8</v>
      </c>
      <c r="K641">
        <f>I641*J641</f>
        <v>83924.40000000001</v>
      </c>
      <c r="L641">
        <f>F641*6</f>
        <v>546</v>
      </c>
      <c r="P641">
        <f>K641-L641+M641-N641-O641</f>
        <v>83378.40000000001</v>
      </c>
      <c r="R641">
        <f>G642/F642</f>
        <v>60.93023255813954</v>
      </c>
    </row>
    <row r="642">
      <c r="A642">
        <v>630</v>
      </c>
      <c r="B642" t="str">
        <v>22*02*2026</v>
      </c>
      <c r="C642" t="str">
        <v>HALESHAPPA</v>
      </c>
      <c r="D642" t="str">
        <v>BALEMALLURU</v>
      </c>
      <c r="F642">
        <v>43</v>
      </c>
      <c r="G642">
        <v>2620</v>
      </c>
      <c r="H642">
        <f>G642*3/100</f>
        <v>78.6</v>
      </c>
      <c r="I642">
        <f>G642-H642</f>
        <v>2541.4</v>
      </c>
      <c r="J642">
        <v>16.7</v>
      </c>
      <c r="K642">
        <f>I642*J642</f>
        <v>42441.38</v>
      </c>
      <c r="L642">
        <f>F642*6</f>
        <v>258</v>
      </c>
      <c r="P642">
        <f>K642-L642+M642-N642-O642</f>
        <v>42183.38</v>
      </c>
      <c r="R642">
        <f>G643/F643</f>
        <v>58.372093023255815</v>
      </c>
    </row>
    <row r="643">
      <c r="A643">
        <v>631</v>
      </c>
      <c r="B643" t="str">
        <v>22*02*2026</v>
      </c>
      <c r="C643" t="str">
        <v>NARASIMAPPA</v>
      </c>
      <c r="D643" t="str">
        <v>SORTURU</v>
      </c>
      <c r="F643">
        <v>43</v>
      </c>
      <c r="G643">
        <v>2510</v>
      </c>
      <c r="H643">
        <f>G643*3/100</f>
        <v>75.3</v>
      </c>
      <c r="I643">
        <f>G643-H643</f>
        <v>2434.7</v>
      </c>
      <c r="J643">
        <v>16.7</v>
      </c>
      <c r="K643">
        <f>I643*J643</f>
        <v>40659.49</v>
      </c>
      <c r="L643">
        <f>F643*6</f>
        <v>258</v>
      </c>
      <c r="P643">
        <f>K643-L643+M643-N643-O643</f>
        <v>40401.49</v>
      </c>
      <c r="R643">
        <f>G644/F644</f>
        <v>57.083333333333336</v>
      </c>
    </row>
    <row r="644">
      <c r="A644">
        <v>632</v>
      </c>
      <c r="B644" t="str">
        <v>23*02*2026</v>
      </c>
      <c r="C644" t="str">
        <v>KIRAN</v>
      </c>
      <c r="D644" t="str">
        <v>THARNAHALLI</v>
      </c>
      <c r="F644">
        <v>24</v>
      </c>
      <c r="G644">
        <v>1370</v>
      </c>
      <c r="H644">
        <f>G644*3/100</f>
        <v>41.1</v>
      </c>
      <c r="I644">
        <f>G644-H644</f>
        <v>1328.9</v>
      </c>
      <c r="J644">
        <v>16.71</v>
      </c>
      <c r="K644">
        <f>I644*J644</f>
        <v>22205.919</v>
      </c>
      <c r="L644">
        <f>F644*6</f>
        <v>144</v>
      </c>
      <c r="P644">
        <f>K644-L644+M644-N644-O644</f>
        <v>22061.919</v>
      </c>
      <c r="R644">
        <f>G644/F644</f>
        <v>57.083333333333336</v>
      </c>
    </row>
    <row r="645">
      <c r="A645">
        <v>633</v>
      </c>
      <c r="B645" t="str">
        <v>23*02*2026</v>
      </c>
      <c r="C645" t="str">
        <v>RAJAPPA</v>
      </c>
      <c r="D645" t="str">
        <v>THIMLAPURA</v>
      </c>
      <c r="F645">
        <v>245</v>
      </c>
      <c r="G645">
        <v>13880</v>
      </c>
      <c r="H645">
        <f>G645*3/100</f>
        <v>416.4</v>
      </c>
      <c r="I645">
        <f>G645-H645</f>
        <v>13463.6</v>
      </c>
      <c r="J645">
        <v>16.71</v>
      </c>
      <c r="K645">
        <f>I645*J645</f>
        <v>224976.75600000002</v>
      </c>
      <c r="L645">
        <f>F645*6</f>
        <v>1470</v>
      </c>
      <c r="P645">
        <f>K645-L645+M645-N645-O645</f>
        <v>223506.75600000002</v>
      </c>
      <c r="R645">
        <f>G645/F645</f>
        <v>56.6530612244898</v>
      </c>
    </row>
    <row r="646">
      <c r="A646">
        <v>634</v>
      </c>
      <c r="B646" t="str">
        <v>23*02*2026</v>
      </c>
      <c r="C646" t="str">
        <v>HANUGOWDA</v>
      </c>
      <c r="D646" t="str">
        <v>KABBAR</v>
      </c>
      <c r="F646">
        <v>26</v>
      </c>
      <c r="G646">
        <v>1490</v>
      </c>
      <c r="H646">
        <f>G646*3/100</f>
        <v>44.7</v>
      </c>
      <c r="I646">
        <f>G646-H646</f>
        <v>1445.3</v>
      </c>
      <c r="J646">
        <v>16.5</v>
      </c>
      <c r="K646">
        <f>I646*J646</f>
        <v>23847.45</v>
      </c>
      <c r="L646">
        <f>F646*6</f>
        <v>156</v>
      </c>
      <c r="P646">
        <f>K646-L646+M646-N646-O646</f>
        <v>23691.45</v>
      </c>
      <c r="R646">
        <f>G646/F646</f>
        <v>57.30769230769231</v>
      </c>
    </row>
    <row r="647">
      <c r="A647">
        <v>635</v>
      </c>
      <c r="B647" t="str">
        <v>23*02*2026</v>
      </c>
      <c r="C647" t="str">
        <v>KUBERAPPA</v>
      </c>
      <c r="D647" t="str">
        <v>KABBAR</v>
      </c>
      <c r="F647">
        <v>20</v>
      </c>
      <c r="G647">
        <v>1140</v>
      </c>
      <c r="H647">
        <f>G647*3/100</f>
        <v>34.2</v>
      </c>
      <c r="I647">
        <f>G647-H647</f>
        <v>1105.8</v>
      </c>
      <c r="J647">
        <v>16.5</v>
      </c>
      <c r="K647">
        <f>I647*J647</f>
        <v>18245.7</v>
      </c>
      <c r="L647">
        <f>F647*6</f>
        <v>120</v>
      </c>
      <c r="P647">
        <f>K647-L647+M647-N647-O647</f>
        <v>18125.7</v>
      </c>
      <c r="R647">
        <f>G647/F647</f>
        <v>57</v>
      </c>
    </row>
    <row r="648">
      <c r="A648">
        <v>636</v>
      </c>
      <c r="B648" t="str">
        <v>23*02*2026</v>
      </c>
      <c r="C648" t="str">
        <v>PRAKASH</v>
      </c>
      <c r="D648" t="str">
        <v>KABBAR</v>
      </c>
      <c r="F648">
        <v>53</v>
      </c>
      <c r="G648">
        <v>2960</v>
      </c>
      <c r="H648">
        <f>G648*3/100</f>
        <v>88.8</v>
      </c>
      <c r="I648">
        <f>G648-H648</f>
        <v>2871.2</v>
      </c>
      <c r="J648">
        <v>16.5</v>
      </c>
      <c r="K648">
        <f>I648*J648</f>
        <v>47374.799999999996</v>
      </c>
      <c r="L648">
        <f>F648*6</f>
        <v>318</v>
      </c>
      <c r="P648">
        <f>K648-L648+M648-N648-O648</f>
        <v>47056.799999999996</v>
      </c>
      <c r="R648">
        <f>G648/F648</f>
        <v>55.84905660377358</v>
      </c>
    </row>
    <row r="649">
      <c r="A649">
        <v>637</v>
      </c>
      <c r="B649" t="str">
        <v>23*02*2026</v>
      </c>
      <c r="C649" t="str">
        <v>BERAPPA</v>
      </c>
      <c r="D649" t="str">
        <v>BALEMALUR</v>
      </c>
      <c r="F649">
        <v>74</v>
      </c>
      <c r="G649">
        <v>4270</v>
      </c>
      <c r="H649">
        <f>G649*3/100</f>
        <v>128.1</v>
      </c>
      <c r="I649">
        <f>G649-H649</f>
        <v>4141.9</v>
      </c>
      <c r="J649">
        <v>17</v>
      </c>
      <c r="K649">
        <f>I649*J649</f>
        <v>70412.29999999999</v>
      </c>
      <c r="L649">
        <f>F649*6</f>
        <v>444</v>
      </c>
      <c r="P649">
        <f>K649-L649+M649-N649-O649</f>
        <v>69968.29999999999</v>
      </c>
      <c r="R649">
        <f>G650/F650</f>
        <v>55.714285714285715</v>
      </c>
    </row>
    <row r="650">
      <c r="A650">
        <v>638</v>
      </c>
      <c r="B650" t="str">
        <v>24*02*2026</v>
      </c>
      <c r="C650" t="str">
        <v>BASAMMA</v>
      </c>
      <c r="D650" t="str">
        <v>SORTURU</v>
      </c>
      <c r="F650">
        <v>21</v>
      </c>
      <c r="G650">
        <v>1170</v>
      </c>
      <c r="H650">
        <f>G650*3/100</f>
        <v>35.1</v>
      </c>
      <c r="I650">
        <f>G650-H650</f>
        <v>1134.9</v>
      </c>
      <c r="J650">
        <v>16.5</v>
      </c>
      <c r="K650">
        <f>I650*J650</f>
        <v>18725.850000000002</v>
      </c>
      <c r="L650">
        <f>F650*6</f>
        <v>126</v>
      </c>
      <c r="P650">
        <f>K650-L650+M650-N650-O650</f>
        <v>18599.850000000002</v>
      </c>
      <c r="R650">
        <f>G651/F651</f>
        <v>56.12903225806452</v>
      </c>
    </row>
    <row r="651">
      <c r="A651">
        <v>639</v>
      </c>
      <c r="B651" t="str">
        <v>24*02*2026</v>
      </c>
      <c r="C651" t="str">
        <v>THIMMAPPA</v>
      </c>
      <c r="D651" t="str">
        <v>SORTURU</v>
      </c>
      <c r="F651">
        <v>31</v>
      </c>
      <c r="G651">
        <v>1740</v>
      </c>
      <c r="H651">
        <f>G651*3/100</f>
        <v>52.2</v>
      </c>
      <c r="I651">
        <f>G651-H651</f>
        <v>1687.8</v>
      </c>
      <c r="J651">
        <v>16.6</v>
      </c>
      <c r="K651">
        <f>I651*J651</f>
        <v>28017.480000000003</v>
      </c>
      <c r="L651">
        <f>F651*6</f>
        <v>186</v>
      </c>
      <c r="P651">
        <f>K651-L651+M651-N651-O651</f>
        <v>27831.480000000003</v>
      </c>
      <c r="R651">
        <f>G652/F652</f>
        <v>58.301886792452834</v>
      </c>
    </row>
    <row r="652">
      <c r="A652">
        <v>640</v>
      </c>
      <c r="B652" t="str">
        <v>24*02*2026</v>
      </c>
      <c r="C652" t="str">
        <v>HARISH</v>
      </c>
      <c r="D652" t="str">
        <v>BELIMALLURU</v>
      </c>
      <c r="F652">
        <v>53</v>
      </c>
      <c r="G652">
        <v>3090</v>
      </c>
      <c r="H652">
        <f>G652*3/100</f>
        <v>92.7</v>
      </c>
      <c r="I652">
        <f>G652-H652</f>
        <v>2997.3</v>
      </c>
      <c r="J652">
        <v>16.5</v>
      </c>
      <c r="K652">
        <f>I652*J652</f>
        <v>49455.450000000004</v>
      </c>
      <c r="L652">
        <f>F652*6</f>
        <v>318</v>
      </c>
      <c r="P652">
        <f>K652-L652+M652-N652-O652</f>
        <v>49137.450000000004</v>
      </c>
      <c r="R652">
        <f>G652/F652</f>
        <v>58.301886792452834</v>
      </c>
    </row>
    <row r="653">
      <c r="A653">
        <v>641</v>
      </c>
      <c r="B653" t="str">
        <v>24*02*2026</v>
      </c>
      <c r="C653" t="str">
        <v>NARASIMAPPA</v>
      </c>
      <c r="D653" t="str">
        <v>HANUMASAGARA</v>
      </c>
      <c r="F653">
        <v>97</v>
      </c>
      <c r="G653">
        <v>5440</v>
      </c>
      <c r="H653">
        <f>G653*3/100</f>
        <v>163.2</v>
      </c>
      <c r="I653">
        <f>G653-H653</f>
        <v>5276.8</v>
      </c>
      <c r="J653">
        <v>16.5</v>
      </c>
      <c r="K653">
        <f>I653*J653</f>
        <v>87067.2</v>
      </c>
      <c r="L653">
        <f>F653*6</f>
        <v>582</v>
      </c>
      <c r="P653">
        <f>K653-L653+M653-N653-O653</f>
        <v>86485.2</v>
      </c>
      <c r="R653">
        <f>G653/F653</f>
        <v>56.08247422680412</v>
      </c>
    </row>
    <row r="654">
      <c r="A654">
        <v>642</v>
      </c>
      <c r="B654" t="str">
        <v>25*02*2026</v>
      </c>
      <c r="C654" t="str">
        <v>RAMESH</v>
      </c>
      <c r="D654" t="str">
        <v>BALEMALURU</v>
      </c>
      <c r="F654">
        <v>36</v>
      </c>
      <c r="G654">
        <v>2070</v>
      </c>
      <c r="H654">
        <f>G654*3/100</f>
        <v>62.1</v>
      </c>
      <c r="I654">
        <f>G654-H654</f>
        <v>2007.9</v>
      </c>
      <c r="J654">
        <v>16.1</v>
      </c>
      <c r="K654">
        <f>I654*J654</f>
        <v>32327.190000000006</v>
      </c>
      <c r="L654">
        <f>F654*6</f>
        <v>216</v>
      </c>
      <c r="P654">
        <f>K654-L654+M654-N654-O654</f>
        <v>32111.190000000006</v>
      </c>
      <c r="R654">
        <f>G654/F654</f>
        <v>57.5</v>
      </c>
    </row>
    <row r="655">
      <c r="A655">
        <v>643</v>
      </c>
      <c r="B655" t="str">
        <v>27*02*2026</v>
      </c>
      <c r="C655" t="str">
        <v>HANUMANTHAPPA</v>
      </c>
      <c r="D655" t="str">
        <v>HANUMASAGARA</v>
      </c>
      <c r="F655">
        <v>146</v>
      </c>
      <c r="G655">
        <v>8340</v>
      </c>
      <c r="H655">
        <f>G655*3/100</f>
        <v>250.2</v>
      </c>
      <c r="I655">
        <f>G655-H655</f>
        <v>8089.8</v>
      </c>
      <c r="J655">
        <v>16.8</v>
      </c>
      <c r="K655">
        <f>I655*J655</f>
        <v>135908.64</v>
      </c>
      <c r="L655">
        <f>F655*6</f>
        <v>876</v>
      </c>
      <c r="P655">
        <f>K655-L655+M655-N655-O655</f>
        <v>135032.64</v>
      </c>
      <c r="R655">
        <f>G655/F655</f>
        <v>57.12328767123287</v>
      </c>
    </row>
    <row r="656">
      <c r="A656">
        <v>644</v>
      </c>
      <c r="B656" t="str">
        <v>27*02*2026</v>
      </c>
      <c r="C656" t="str">
        <v>VENKATESH</v>
      </c>
      <c r="D656" t="str">
        <v>MASDI</v>
      </c>
      <c r="F656">
        <v>19</v>
      </c>
      <c r="G656">
        <v>1100</v>
      </c>
      <c r="H656">
        <f>G656*3/100</f>
        <v>33</v>
      </c>
      <c r="I656">
        <f>G656-H656</f>
        <v>1067</v>
      </c>
      <c r="J656">
        <v>16.1</v>
      </c>
      <c r="K656">
        <f>I656*J656</f>
        <v>17178.7</v>
      </c>
      <c r="L656">
        <f>F656*6</f>
        <v>114</v>
      </c>
      <c r="P656">
        <f>K656-L656+M656-N656-O656</f>
        <v>17064.7</v>
      </c>
      <c r="R656">
        <f>G656/F656</f>
        <v>57.89473684210526</v>
      </c>
    </row>
    <row r="657">
      <c r="A657">
        <v>645</v>
      </c>
      <c r="B657" t="str">
        <v>28*02*2026</v>
      </c>
      <c r="C657" t="str">
        <v>RAMCHANDRAPPA</v>
      </c>
      <c r="D657" t="str">
        <v>BELIMALLURU</v>
      </c>
      <c r="F657">
        <v>42</v>
      </c>
      <c r="G657">
        <v>2420</v>
      </c>
      <c r="H657">
        <f>G657*3/100</f>
        <v>72.6</v>
      </c>
      <c r="I657">
        <f>G657-H657</f>
        <v>2347.4</v>
      </c>
      <c r="J657">
        <v>16.3</v>
      </c>
      <c r="K657">
        <f>I657*J657</f>
        <v>38262.62</v>
      </c>
      <c r="L657">
        <f>F657*6</f>
        <v>252</v>
      </c>
      <c r="P657">
        <f>K657-L657+M657-N657-O657</f>
        <v>38010.62</v>
      </c>
      <c r="R657">
        <f>G658/F658</f>
        <v>56.3235294117647</v>
      </c>
    </row>
    <row r="658">
      <c r="A658">
        <v>646</v>
      </c>
      <c r="B658" t="str">
        <v>28*02*2026</v>
      </c>
      <c r="C658" t="str">
        <v>VEERESH</v>
      </c>
      <c r="D658" t="str">
        <v>HONNALI</v>
      </c>
      <c r="F658">
        <v>68</v>
      </c>
      <c r="G658">
        <v>3830</v>
      </c>
      <c r="H658">
        <f>G658*3/100</f>
        <v>114.9</v>
      </c>
      <c r="I658">
        <f>G658-H658</f>
        <v>3715.1</v>
      </c>
      <c r="J658">
        <v>17</v>
      </c>
      <c r="K658">
        <f>I658*J658</f>
        <v>63156.7</v>
      </c>
      <c r="L658">
        <f>F658*6</f>
        <v>408</v>
      </c>
      <c r="P658">
        <f>K658-L658+M658-N658-O658</f>
        <v>62748.7</v>
      </c>
      <c r="R658">
        <f>G659/F659</f>
        <v>58.588235294117645</v>
      </c>
    </row>
    <row r="659">
      <c r="A659">
        <v>647</v>
      </c>
      <c r="B659" t="str">
        <v>28*02*2026</v>
      </c>
      <c r="C659" t="str">
        <v>MANJAPPA</v>
      </c>
      <c r="D659" t="str">
        <v>BALEMALURU</v>
      </c>
      <c r="F659">
        <v>17</v>
      </c>
      <c r="G659">
        <v>996</v>
      </c>
      <c r="H659">
        <f>G659*3/100</f>
        <v>29.88</v>
      </c>
      <c r="I659">
        <f>G659-H659</f>
        <v>966.12</v>
      </c>
      <c r="J659">
        <v>16.9</v>
      </c>
      <c r="K659">
        <f>I659*J659</f>
        <v>16327.427999999998</v>
      </c>
      <c r="L659">
        <f>F659*6</f>
        <v>102</v>
      </c>
      <c r="P659">
        <f>K659-L659+M659-N659-O659</f>
        <v>16225.427999999998</v>
      </c>
      <c r="R659">
        <f>G660/F660</f>
        <v>56.33802816901409</v>
      </c>
    </row>
    <row r="660">
      <c r="A660">
        <v>648</v>
      </c>
      <c r="B660" t="str">
        <v>28*02*2026</v>
      </c>
      <c r="C660" t="str">
        <v>SWAMI</v>
      </c>
      <c r="D660" t="str">
        <v>HONNALI</v>
      </c>
      <c r="F660">
        <v>142</v>
      </c>
      <c r="G660">
        <v>8000</v>
      </c>
      <c r="H660">
        <f>G660*3/100</f>
        <v>240</v>
      </c>
      <c r="I660">
        <f>G660-H660</f>
        <v>7760</v>
      </c>
      <c r="J660">
        <v>16.7</v>
      </c>
      <c r="K660">
        <f>I660*J660</f>
        <v>129592</v>
      </c>
      <c r="L660">
        <f>F660*6</f>
        <v>852</v>
      </c>
      <c r="P660">
        <f>K660-L660+M660-N660-O660</f>
        <v>128740</v>
      </c>
      <c r="R660">
        <f>G660/F660</f>
        <v>56.33802816901409</v>
      </c>
    </row>
    <row r="661">
      <c r="A661">
        <v>649</v>
      </c>
      <c r="B661" t="str">
        <v>01*03*2026</v>
      </c>
      <c r="C661" t="str">
        <v>PRADEEP</v>
      </c>
      <c r="D661" t="str">
        <v>MADENAHALLI</v>
      </c>
      <c r="F661">
        <v>18</v>
      </c>
      <c r="G661">
        <v>1090</v>
      </c>
      <c r="H661">
        <f>G661*3/100</f>
        <v>32.7</v>
      </c>
      <c r="I661">
        <f>G661-H661</f>
        <v>1057.3</v>
      </c>
      <c r="J661">
        <v>16.8</v>
      </c>
      <c r="K661">
        <f>I661*J661</f>
        <v>17762.64</v>
      </c>
      <c r="L661">
        <f>F661*6</f>
        <v>108</v>
      </c>
      <c r="P661">
        <f>K661-L661+M661-N661-O661</f>
        <v>17654.64</v>
      </c>
      <c r="R661">
        <f>G661/F661</f>
        <v>60.55555555555556</v>
      </c>
    </row>
    <row r="662">
      <c r="A662">
        <v>650</v>
      </c>
      <c r="B662" t="str">
        <v>01*03*2026</v>
      </c>
      <c r="C662" t="str">
        <v>MAKESHAPPA</v>
      </c>
      <c r="D662" t="str">
        <v>HONNALI</v>
      </c>
      <c r="F662">
        <v>74</v>
      </c>
      <c r="G662">
        <v>4240</v>
      </c>
      <c r="H662">
        <f>G662*3/100</f>
        <v>127.2</v>
      </c>
      <c r="I662">
        <f>G662-H662</f>
        <v>4112.8</v>
      </c>
      <c r="J662">
        <v>16.6</v>
      </c>
      <c r="K662">
        <f>I662*J662</f>
        <v>68272.48000000001</v>
      </c>
      <c r="L662">
        <f>F662*6</f>
        <v>444</v>
      </c>
      <c r="P662">
        <f>K662-L662+M662-N662-O662</f>
        <v>67828.48000000001</v>
      </c>
      <c r="R662">
        <f>G662/F662</f>
        <v>57.2972972972973</v>
      </c>
    </row>
    <row r="663">
      <c r="A663">
        <v>651</v>
      </c>
      <c r="B663" t="str">
        <v>03*03*2026</v>
      </c>
      <c r="C663" t="str">
        <v>CHNDRAPPA</v>
      </c>
      <c r="D663" t="str">
        <v>KANIVESIDDA</v>
      </c>
      <c r="F663">
        <v>272</v>
      </c>
      <c r="G663">
        <v>15930</v>
      </c>
      <c r="H663">
        <f>G663*3/100</f>
        <v>477.9</v>
      </c>
      <c r="I663">
        <f>G663-H663</f>
        <v>15452.1</v>
      </c>
      <c r="J663">
        <v>16.8</v>
      </c>
      <c r="K663">
        <f>I663*J663</f>
        <v>259595.28000000003</v>
      </c>
      <c r="L663">
        <f>F663*6</f>
        <v>1632</v>
      </c>
      <c r="P663">
        <f>K663-L663+M663-N663-O663</f>
        <v>257963.28000000003</v>
      </c>
      <c r="R663">
        <f>G663/F663</f>
        <v>58.56617647058823</v>
      </c>
    </row>
    <row r="664">
      <c r="A664">
        <v>652</v>
      </c>
      <c r="B664" t="str">
        <v>03*03*2026</v>
      </c>
      <c r="C664" t="str">
        <v>UMESH</v>
      </c>
      <c r="D664" t="str">
        <v>BELEMALURU</v>
      </c>
      <c r="F664">
        <v>35</v>
      </c>
      <c r="G664">
        <v>2080</v>
      </c>
      <c r="H664">
        <f>G664*3/100</f>
        <v>62.4</v>
      </c>
      <c r="I664">
        <f>G664-H664</f>
        <v>2017.6</v>
      </c>
      <c r="J664">
        <v>16.8</v>
      </c>
      <c r="K664">
        <f>I664*J664</f>
        <v>33895.68</v>
      </c>
      <c r="L664">
        <f>F664*6</f>
        <v>210</v>
      </c>
      <c r="P664">
        <f>K664-L664+M664-N664-O664</f>
        <v>33685.68</v>
      </c>
      <c r="R664">
        <f>G664/F664</f>
        <v>59.42857142857143</v>
      </c>
    </row>
    <row r="665">
      <c r="A665">
        <v>653</v>
      </c>
      <c r="B665" t="str">
        <v>03*03*2026</v>
      </c>
      <c r="C665" t="str">
        <v>DARSHANA</v>
      </c>
      <c r="D665" t="str">
        <v>BELEMALURU</v>
      </c>
      <c r="F665">
        <v>76</v>
      </c>
      <c r="G665">
        <v>4450</v>
      </c>
      <c r="H665">
        <f>G665*3/100</f>
        <v>133.5</v>
      </c>
      <c r="I665">
        <f>G665-H665</f>
        <v>4316.5</v>
      </c>
      <c r="J665">
        <v>16.8</v>
      </c>
      <c r="K665">
        <f>I665*J665</f>
        <v>72517.2</v>
      </c>
      <c r="L665">
        <f>F665*6</f>
        <v>456</v>
      </c>
      <c r="P665">
        <f>K665-L665+M665-N665-O665</f>
        <v>72061.2</v>
      </c>
      <c r="R665">
        <f>G666/F666</f>
        <v>59.06976744186046</v>
      </c>
    </row>
    <row r="666">
      <c r="A666">
        <v>654</v>
      </c>
      <c r="B666" t="str">
        <v>04*03*2026</v>
      </c>
      <c r="C666" t="str">
        <v>HONAPPA</v>
      </c>
      <c r="D666" t="str">
        <v>HOLEHARAHALLI</v>
      </c>
      <c r="F666">
        <v>43</v>
      </c>
      <c r="G666">
        <v>2540</v>
      </c>
      <c r="H666">
        <f>G666*3/100</f>
        <v>76.2</v>
      </c>
      <c r="I666">
        <f>G666-H666</f>
        <v>2463.8</v>
      </c>
      <c r="J666">
        <v>16.7</v>
      </c>
      <c r="K666">
        <f>I666*J666</f>
        <v>41145.46</v>
      </c>
      <c r="L666">
        <f>F666*6</f>
        <v>258</v>
      </c>
      <c r="P666">
        <f>K666-L666+M666-N666-O666</f>
        <v>40887.46</v>
      </c>
      <c r="R666" t="e">
        <f>G667/F667</f>
        <v>#DIV/0!</v>
      </c>
    </row>
    <row r="667">
      <c r="A667">
        <v>655</v>
      </c>
      <c r="H667">
        <f>G667*3/100</f>
        <v>0</v>
      </c>
      <c r="I667">
        <f>G667-H667</f>
        <v>0</v>
      </c>
      <c r="K667">
        <f>I667*J667</f>
        <v>0</v>
      </c>
      <c r="L667">
        <f>F667*6</f>
        <v>0</v>
      </c>
      <c r="P667">
        <f>K667-L667+M667-N667-O667</f>
        <v>0</v>
      </c>
      <c r="R667" t="e">
        <f>G668/F668</f>
        <v>#DIV/0!</v>
      </c>
    </row>
    <row r="668">
      <c r="R668" t="e">
        <f>G668/F668</f>
        <v>#DIV/0!</v>
      </c>
    </row>
    <row r="671">
      <c r="E671" t="str">
        <v>MANJU MASUR</v>
      </c>
      <c r="F671">
        <f>'MANJU MASUR'!D30</f>
        <v>2729</v>
      </c>
      <c r="G671">
        <f>'MANJU MASUR'!E59</f>
        <v>165655</v>
      </c>
      <c r="P671">
        <f>'MANJU MASUR'!K30</f>
        <v>2957234.525</v>
      </c>
    </row>
    <row r="672">
      <c r="E672" t="str">
        <v>HAMMALI</v>
      </c>
      <c r="F672">
        <v>52</v>
      </c>
      <c r="G672">
        <v>3000</v>
      </c>
      <c r="P672">
        <f>BILLTY!M49</f>
        <v>6821910.65</v>
      </c>
    </row>
    <row r="673">
      <c r="E673" t="str">
        <v xml:space="preserve">BILLTY </v>
      </c>
      <c r="F673">
        <f>BILLTY!E49</f>
        <v>6145</v>
      </c>
      <c r="G673">
        <f>BILLTY!F49</f>
        <v>369935</v>
      </c>
      <c r="N673">
        <f>SUM(N9:N672)</f>
        <v>99035</v>
      </c>
      <c r="P673">
        <f>SUM(P9:P672)</f>
        <v>57620953.4745</v>
      </c>
    </row>
    <row r="674">
      <c r="F674">
        <f>SUM(F9:F673)</f>
        <v>54811</v>
      </c>
      <c r="G674">
        <f>SUM(G9:G673)</f>
        <v>3229283</v>
      </c>
      <c r="H674">
        <f>SUM(H9:H673)</f>
        <v>79642.89000000001</v>
      </c>
      <c r="L674">
        <f>SUM(L9:L673)</f>
        <v>260444</v>
      </c>
    </row>
    <row r="681">
      <c r="D681" t="str">
        <v>Bill Num -  34</v>
      </c>
      <c r="E681" t="str">
        <v>Thirtanna</v>
      </c>
      <c r="F681">
        <v>77</v>
      </c>
      <c r="G681" t="str">
        <v>out side bag</v>
      </c>
    </row>
    <row r="682">
      <c r="D682" t="str">
        <v>Bill Num - 63</v>
      </c>
      <c r="E682" t="str">
        <v>Pramwshwappa</v>
      </c>
      <c r="F682">
        <v>62</v>
      </c>
      <c r="G682" t="str">
        <v>out side bag</v>
      </c>
    </row>
    <row r="683">
      <c r="D683" t="str">
        <v>Bill NUM- 95</v>
      </c>
      <c r="E683" t="str">
        <v>Gangadar</v>
      </c>
      <c r="F683">
        <v>155</v>
      </c>
      <c r="G683" t="str">
        <v>out side bag</v>
      </c>
    </row>
    <row r="684">
      <c r="D684" t="str">
        <v>BILL NUM - 106</v>
      </c>
      <c r="E684" t="str">
        <v>ARBGATTE</v>
      </c>
      <c r="F684">
        <v>130</v>
      </c>
      <c r="G684" t="str">
        <v>out side bag</v>
      </c>
    </row>
    <row r="685">
      <c r="C685" t="str">
        <v>BILLTY</v>
      </c>
      <c r="D685" t="str">
        <v>BILL NUM - 114</v>
      </c>
      <c r="E685" t="str">
        <v>ARBGATTE</v>
      </c>
      <c r="F685">
        <v>63</v>
      </c>
      <c r="G685" t="str">
        <v>out side bag</v>
      </c>
    </row>
    <row r="686">
      <c r="C686" t="str">
        <v>BILLTY</v>
      </c>
      <c r="D686" t="str">
        <v>BILL NUM - 115</v>
      </c>
      <c r="E686" t="str">
        <v>ARBGATTE</v>
      </c>
      <c r="F686">
        <v>160</v>
      </c>
      <c r="G686" t="str">
        <v>out side bag</v>
      </c>
    </row>
  </sheetData>
  <mergeCells count="1">
    <mergeCell ref="A1:P1"/>
  </mergeCells>
  <pageMargins left="0.7" right="0.7" top="0.75" bottom="0.75" header="0.3" footer="0.3"/>
  <ignoredErrors>
    <ignoredError numberStoredAsText="1" sqref="A1:R6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S33"/>
  <sheetViews>
    <sheetView workbookViewId="0" rightToLeft="0"/>
  </sheetViews>
  <sheetData>
    <row r="2">
      <c r="A2" t="str">
        <v>STOCK</v>
      </c>
    </row>
    <row r="5">
      <c r="A5" t="str">
        <v>SL NO</v>
      </c>
      <c r="B5" t="str">
        <v>BILL NO</v>
      </c>
      <c r="C5" t="str">
        <v>DATE</v>
      </c>
      <c r="D5" t="str">
        <v>NAME</v>
      </c>
      <c r="E5" t="str">
        <v>PLACE</v>
      </c>
      <c r="F5" t="str">
        <v>MOB</v>
      </c>
      <c r="G5" t="str">
        <v>BAGS</v>
      </c>
      <c r="H5" t="str">
        <v>WEIGHT</v>
      </c>
      <c r="I5" t="str">
        <v>LESS</v>
      </c>
      <c r="J5" t="str">
        <v xml:space="preserve">NET WEIGHT </v>
      </c>
      <c r="K5" t="str">
        <v xml:space="preserve">RATE </v>
      </c>
      <c r="L5" t="str">
        <v>AMOUNT</v>
      </c>
      <c r="M5" t="str">
        <v>LESS</v>
      </c>
      <c r="N5" t="str">
        <v xml:space="preserve">ADD </v>
      </c>
      <c r="O5" t="str">
        <v>CASH</v>
      </c>
      <c r="P5" t="str">
        <v>PHONE PAY</v>
      </c>
      <c r="Q5" t="str">
        <v>TOTAL AMOUNT</v>
      </c>
    </row>
    <row r="7">
      <c r="A7">
        <v>1</v>
      </c>
      <c r="B7">
        <v>262</v>
      </c>
      <c r="C7" t="str">
        <v>24*11*2025</v>
      </c>
      <c r="D7" t="str">
        <v>GURUJI</v>
      </c>
      <c r="E7" t="str">
        <v>KONAYAKAHALLI</v>
      </c>
      <c r="G7">
        <v>75</v>
      </c>
      <c r="H7">
        <v>4290</v>
      </c>
      <c r="I7">
        <f>H7*3/100</f>
        <v>128.7</v>
      </c>
      <c r="J7">
        <f>H7-I7</f>
        <v>4161.3</v>
      </c>
      <c r="K7">
        <v>18</v>
      </c>
      <c r="L7">
        <f>J7*K7</f>
        <v>74903.40000000001</v>
      </c>
      <c r="M7">
        <f>G7*6</f>
        <v>450</v>
      </c>
      <c r="Q7">
        <f>L7-M7+N7-O7-P7</f>
        <v>74453.40000000001</v>
      </c>
    </row>
    <row r="8">
      <c r="A8">
        <v>2</v>
      </c>
      <c r="B8">
        <v>263</v>
      </c>
      <c r="C8" t="str">
        <v>24*11*2025</v>
      </c>
      <c r="D8" t="str">
        <v>SUREESH</v>
      </c>
      <c r="E8" t="str">
        <v>KONAYAKAHALLI</v>
      </c>
      <c r="G8">
        <v>33</v>
      </c>
      <c r="H8">
        <v>1920</v>
      </c>
      <c r="I8">
        <f>H8*3/100</f>
        <v>57.6</v>
      </c>
      <c r="J8">
        <f>H8-I8</f>
        <v>1862.4</v>
      </c>
      <c r="K8">
        <v>18</v>
      </c>
      <c r="L8">
        <f>J8*K8</f>
        <v>33523.200000000004</v>
      </c>
      <c r="M8">
        <f>G8*6</f>
        <v>198</v>
      </c>
      <c r="Q8">
        <f>L8-M8+N8-O8-P8</f>
        <v>33325.200000000004</v>
      </c>
    </row>
    <row r="9">
      <c r="A9">
        <v>3</v>
      </c>
      <c r="B9">
        <v>264</v>
      </c>
      <c r="C9" t="str">
        <v>24*11*2025</v>
      </c>
      <c r="D9" t="str">
        <v>Hanumantappa</v>
      </c>
      <c r="E9" t="str">
        <v>KONAYAKAHALLI</v>
      </c>
      <c r="G9">
        <v>15</v>
      </c>
      <c r="H9">
        <v>820</v>
      </c>
      <c r="I9">
        <f>H9*3/100</f>
        <v>24.6</v>
      </c>
      <c r="J9">
        <f>H9-I9</f>
        <v>795.4</v>
      </c>
      <c r="K9">
        <v>18</v>
      </c>
      <c r="L9">
        <f>J9*K9</f>
        <v>14317.199999999999</v>
      </c>
      <c r="M9">
        <f>G9*6</f>
        <v>90</v>
      </c>
      <c r="Q9">
        <f>L9-M9+N9-O9-P9</f>
        <v>14227.199999999999</v>
      </c>
      <c r="R9" t="str">
        <v>MODE</v>
      </c>
      <c r="S9" t="str">
        <v>BAG AVG</v>
      </c>
    </row>
    <row r="10">
      <c r="A10">
        <v>4</v>
      </c>
      <c r="B10">
        <v>265</v>
      </c>
      <c r="C10" t="str">
        <v>24*11*2025</v>
      </c>
      <c r="D10" t="str">
        <v>THIMMA</v>
      </c>
      <c r="E10" t="str">
        <v>KONAYAKAHALLI</v>
      </c>
      <c r="G10">
        <v>55</v>
      </c>
      <c r="H10">
        <v>3280</v>
      </c>
      <c r="I10">
        <f>H10*3/100</f>
        <v>98.4</v>
      </c>
      <c r="J10">
        <f>H10-I10</f>
        <v>3181.6</v>
      </c>
      <c r="K10">
        <v>18</v>
      </c>
      <c r="L10">
        <f>J10*K10</f>
        <v>57268.799999999996</v>
      </c>
      <c r="M10">
        <f>G10*6</f>
        <v>330</v>
      </c>
      <c r="Q10">
        <f>L10-M10+N10-O10-P10</f>
        <v>56938.799999999996</v>
      </c>
    </row>
    <row r="11">
      <c r="A11">
        <v>5</v>
      </c>
      <c r="B11">
        <v>257</v>
      </c>
      <c r="C11" t="str">
        <v>21*11*2025</v>
      </c>
      <c r="D11" t="str">
        <v>VEERESH</v>
      </c>
      <c r="E11" t="str">
        <v>KONAYAKAHALLI</v>
      </c>
      <c r="G11">
        <v>81</v>
      </c>
      <c r="H11">
        <v>4920</v>
      </c>
      <c r="I11">
        <f>H11*3/100</f>
        <v>147.6</v>
      </c>
      <c r="J11">
        <f>H11-I11</f>
        <v>4772.4</v>
      </c>
      <c r="K11">
        <v>18.6</v>
      </c>
      <c r="L11">
        <f>J11*K11</f>
        <v>88766.64</v>
      </c>
      <c r="M11">
        <f>G11*5</f>
        <v>405</v>
      </c>
      <c r="Q11">
        <f>L11-M11+N11-O11-P11</f>
        <v>88361.64</v>
      </c>
      <c r="S11">
        <f>H7/G7</f>
        <v>57.2</v>
      </c>
    </row>
    <row r="12">
      <c r="A12">
        <v>6</v>
      </c>
      <c r="B12">
        <v>258</v>
      </c>
      <c r="C12" t="str">
        <v>21*11*2025</v>
      </c>
      <c r="D12" t="str">
        <v>SHASHI</v>
      </c>
      <c r="E12" t="str">
        <v>KONAYAKAHALLI</v>
      </c>
      <c r="G12">
        <v>64</v>
      </c>
      <c r="H12">
        <v>3790</v>
      </c>
      <c r="I12">
        <f>H12*3/100</f>
        <v>113.7</v>
      </c>
      <c r="J12">
        <f>H12-I12</f>
        <v>3676.3</v>
      </c>
      <c r="K12">
        <v>18.4</v>
      </c>
      <c r="L12">
        <f>J12*K12</f>
        <v>67643.92</v>
      </c>
      <c r="M12">
        <f>G12*6</f>
        <v>384</v>
      </c>
      <c r="Q12">
        <f>L12-M12+N12-O12-P12</f>
        <v>67259.92</v>
      </c>
      <c r="S12">
        <f>H8/G8</f>
        <v>58.18181818181818</v>
      </c>
    </row>
    <row r="13">
      <c r="A13">
        <v>7</v>
      </c>
      <c r="B13">
        <v>273</v>
      </c>
      <c r="C13" t="str">
        <v>28*11*2025</v>
      </c>
      <c r="D13" t="str">
        <v>JAGANTH</v>
      </c>
      <c r="E13" t="str">
        <v>HONNALI</v>
      </c>
      <c r="G13">
        <v>39</v>
      </c>
      <c r="H13">
        <v>2290</v>
      </c>
      <c r="I13">
        <f>H13*3/100</f>
        <v>68.7</v>
      </c>
      <c r="J13">
        <v>2221</v>
      </c>
      <c r="K13">
        <v>18.5</v>
      </c>
      <c r="L13">
        <f>J13*K13</f>
        <v>41088.5</v>
      </c>
      <c r="M13">
        <f>G13*6</f>
        <v>234</v>
      </c>
      <c r="Q13">
        <f>L13-M13+N13-O13-P13</f>
        <v>40854.5</v>
      </c>
      <c r="S13">
        <f>H9/G9</f>
        <v>54.666666666666664</v>
      </c>
    </row>
    <row r="14">
      <c r="A14">
        <v>8</v>
      </c>
      <c r="B14">
        <v>274</v>
      </c>
      <c r="C14" t="str">
        <v>28*11*2025</v>
      </c>
      <c r="D14" t="str">
        <v>NAGARAJ</v>
      </c>
      <c r="E14" t="str">
        <v>BELMURI</v>
      </c>
      <c r="G14">
        <v>20</v>
      </c>
      <c r="H14">
        <v>1200</v>
      </c>
      <c r="I14">
        <f>H14*3/100</f>
        <v>36</v>
      </c>
      <c r="J14">
        <v>1507</v>
      </c>
      <c r="K14">
        <v>18.1</v>
      </c>
      <c r="L14">
        <f>J14*K14</f>
        <v>27276.7</v>
      </c>
      <c r="M14">
        <f>G14*6</f>
        <v>120</v>
      </c>
      <c r="Q14">
        <f>L14-M14+N14-O14-P14</f>
        <v>27156.7</v>
      </c>
      <c r="S14">
        <f>H10/G10</f>
        <v>59.63636363636363</v>
      </c>
    </row>
    <row r="15">
      <c r="A15">
        <v>9</v>
      </c>
      <c r="B15">
        <v>278</v>
      </c>
      <c r="C15" t="str">
        <v>30*11*2025</v>
      </c>
      <c r="D15" t="str">
        <v>NAGAPPA</v>
      </c>
      <c r="E15" t="str">
        <v>KNH</v>
      </c>
      <c r="G15">
        <v>37</v>
      </c>
      <c r="H15">
        <v>2230</v>
      </c>
      <c r="I15">
        <f>H15*3/100</f>
        <v>66.9</v>
      </c>
      <c r="J15">
        <v>2163</v>
      </c>
      <c r="K15">
        <v>18.1</v>
      </c>
      <c r="L15">
        <f>J15*K15</f>
        <v>39150.3</v>
      </c>
      <c r="M15">
        <f>G15*6</f>
        <v>222</v>
      </c>
      <c r="Q15">
        <f>L15-M15+N15-O15-P15</f>
        <v>38928.3</v>
      </c>
      <c r="S15">
        <f>H11/G11</f>
        <v>60.74074074074074</v>
      </c>
    </row>
    <row r="16">
      <c r="A16">
        <v>10</v>
      </c>
      <c r="B16">
        <v>282</v>
      </c>
      <c r="C16" t="str">
        <v>30*11*2025</v>
      </c>
      <c r="D16" t="str">
        <v>KENCHAPPA</v>
      </c>
      <c r="E16" t="str">
        <v>KNH</v>
      </c>
      <c r="G16">
        <v>41</v>
      </c>
      <c r="H16">
        <v>2480</v>
      </c>
      <c r="I16">
        <f>H16*3/100</f>
        <v>74.4</v>
      </c>
      <c r="J16">
        <v>2406</v>
      </c>
      <c r="K16">
        <v>18.3</v>
      </c>
      <c r="L16">
        <f>J16*K16</f>
        <v>44029.8</v>
      </c>
      <c r="M16">
        <f>G16*6</f>
        <v>246</v>
      </c>
      <c r="Q16">
        <f>L16-M16+N16-O16-P16</f>
        <v>43783.8</v>
      </c>
      <c r="S16">
        <f>H12/G12</f>
        <v>59.21875</v>
      </c>
    </row>
    <row r="17">
      <c r="A17">
        <v>11</v>
      </c>
      <c r="B17">
        <v>282</v>
      </c>
      <c r="C17" t="str">
        <v>30*11*2025</v>
      </c>
      <c r="D17" t="str">
        <v>KENCHAPPA</v>
      </c>
      <c r="E17" t="str">
        <v>KONAYAKAHALLI</v>
      </c>
      <c r="G17">
        <v>41</v>
      </c>
      <c r="H17">
        <v>2480</v>
      </c>
      <c r="I17">
        <f>H17*3/100</f>
        <v>74.4</v>
      </c>
      <c r="J17">
        <f>H17-I17</f>
        <v>2405.6</v>
      </c>
      <c r="K17">
        <v>18.3</v>
      </c>
      <c r="L17">
        <f>J17*K17</f>
        <v>44022.48</v>
      </c>
      <c r="M17">
        <f>G17*6</f>
        <v>246</v>
      </c>
      <c r="O17">
        <v>15100</v>
      </c>
      <c r="Q17">
        <f>L17-M17+N17-O17-P17</f>
        <v>28676.480000000003</v>
      </c>
      <c r="S17">
        <f>H13/G13</f>
        <v>58.717948717948715</v>
      </c>
    </row>
    <row r="18">
      <c r="A18">
        <v>12</v>
      </c>
      <c r="B18">
        <v>6</v>
      </c>
      <c r="C18">
        <v>46003</v>
      </c>
      <c r="D18" t="str">
        <v>THIRTA</v>
      </c>
      <c r="E18" t="str">
        <v>ARABGATE</v>
      </c>
      <c r="G18">
        <v>152</v>
      </c>
      <c r="H18">
        <v>9240</v>
      </c>
      <c r="I18">
        <v>0</v>
      </c>
      <c r="J18">
        <f>H18</f>
        <v>9240</v>
      </c>
      <c r="K18">
        <v>20.5</v>
      </c>
      <c r="L18">
        <f>J18*K18</f>
        <v>189420</v>
      </c>
      <c r="M18">
        <v>0</v>
      </c>
      <c r="Q18">
        <v>189420</v>
      </c>
      <c r="S18">
        <f>H14/G14</f>
        <v>60</v>
      </c>
    </row>
    <row r="19">
      <c r="A19">
        <v>13</v>
      </c>
      <c r="B19">
        <v>3</v>
      </c>
      <c r="C19" t="str">
        <v>11*12*2025</v>
      </c>
      <c r="D19" t="str">
        <v>TRATOR</v>
      </c>
      <c r="E19">
        <v>120</v>
      </c>
      <c r="G19">
        <v>120</v>
      </c>
      <c r="H19">
        <v>7000</v>
      </c>
      <c r="I19">
        <v>35</v>
      </c>
      <c r="J19">
        <f>H19-I19</f>
        <v>6965</v>
      </c>
      <c r="K19">
        <v>20.2</v>
      </c>
      <c r="L19">
        <f>J19+K19</f>
        <v>6985.2</v>
      </c>
      <c r="M19">
        <v>0</v>
      </c>
      <c r="Q19">
        <f>L19*K19</f>
        <v>141101.03999999998</v>
      </c>
    </row>
    <row r="20">
      <c r="A20">
        <v>14</v>
      </c>
      <c r="B20">
        <v>313</v>
      </c>
      <c r="C20" t="str">
        <v>14*12*2025</v>
      </c>
      <c r="D20" t="str">
        <v>JADI</v>
      </c>
      <c r="E20" t="str">
        <v>HONNALI</v>
      </c>
      <c r="F20">
        <v>8951078465</v>
      </c>
      <c r="G20">
        <v>73</v>
      </c>
      <c r="H20">
        <v>4250</v>
      </c>
      <c r="I20">
        <f>H20*3/100</f>
        <v>127.5</v>
      </c>
      <c r="J20">
        <f>H20-I20</f>
        <v>4122.5</v>
      </c>
      <c r="K20">
        <v>20</v>
      </c>
      <c r="L20">
        <f>J20*K20</f>
        <v>82450</v>
      </c>
      <c r="M20">
        <f>G20*6</f>
        <v>438</v>
      </c>
      <c r="Q20">
        <f>L20-M20+N20-O20-P20</f>
        <v>82012</v>
      </c>
    </row>
    <row r="21">
      <c r="A21">
        <v>15</v>
      </c>
      <c r="B21">
        <v>308</v>
      </c>
      <c r="C21" t="str">
        <v>13*12*2025</v>
      </c>
      <c r="D21" t="str">
        <v>NAGARAJ</v>
      </c>
      <c r="E21" t="str">
        <v>BELEMALURU</v>
      </c>
      <c r="F21">
        <v>9259654167</v>
      </c>
      <c r="G21">
        <v>33</v>
      </c>
      <c r="H21">
        <v>1840</v>
      </c>
      <c r="I21">
        <f>H21*3/100</f>
        <v>55.2</v>
      </c>
      <c r="J21">
        <f>H21-I21</f>
        <v>1784.8</v>
      </c>
      <c r="K21">
        <v>19.8</v>
      </c>
      <c r="L21">
        <f>J21*K21</f>
        <v>35339.04</v>
      </c>
      <c r="M21">
        <f>G21*6</f>
        <v>198</v>
      </c>
      <c r="Q21">
        <f>L21-M21+N21-O21-P21</f>
        <v>35141.04</v>
      </c>
    </row>
    <row r="22">
      <c r="A22">
        <v>16</v>
      </c>
      <c r="B22">
        <v>309</v>
      </c>
      <c r="C22" t="str">
        <v>13*12*2025</v>
      </c>
      <c r="D22" t="str">
        <v>SWAMI LINGAPPA</v>
      </c>
      <c r="E22" t="str">
        <v>BELEMALURU</v>
      </c>
      <c r="F22">
        <v>9611447635</v>
      </c>
      <c r="G22">
        <v>37</v>
      </c>
      <c r="H22">
        <v>2270</v>
      </c>
      <c r="I22">
        <f>H22*3/100</f>
        <v>68.1</v>
      </c>
      <c r="J22">
        <f>H22-I22</f>
        <v>2201.9</v>
      </c>
      <c r="K22">
        <v>19.8</v>
      </c>
      <c r="L22">
        <f>J22*K22</f>
        <v>43597.62</v>
      </c>
      <c r="M22">
        <f>G22*6</f>
        <v>222</v>
      </c>
      <c r="Q22">
        <f>L22-M22+N22-O22-P22</f>
        <v>43375.62</v>
      </c>
    </row>
    <row r="23">
      <c r="A23">
        <v>17</v>
      </c>
      <c r="B23">
        <v>8</v>
      </c>
      <c r="C23" t="str">
        <v>18/12/2025</v>
      </c>
      <c r="D23" t="str">
        <v>SHEKARAPPA</v>
      </c>
      <c r="E23" t="str">
        <v>MELEBRNURU</v>
      </c>
      <c r="G23">
        <v>140</v>
      </c>
      <c r="H23">
        <v>8530</v>
      </c>
      <c r="J23">
        <f>H23-I23</f>
        <v>8530</v>
      </c>
      <c r="K23">
        <v>20</v>
      </c>
      <c r="L23">
        <f>J23*K23</f>
        <v>170600</v>
      </c>
      <c r="M23">
        <v>0</v>
      </c>
      <c r="Q23">
        <f>L23</f>
        <v>170600</v>
      </c>
    </row>
    <row r="24">
      <c r="A24">
        <v>18</v>
      </c>
      <c r="B24">
        <v>340</v>
      </c>
      <c r="C24" t="str">
        <v>18*12*2025</v>
      </c>
      <c r="D24" t="str">
        <v>SHREYAS</v>
      </c>
      <c r="E24" t="str">
        <v>BALESHWARA</v>
      </c>
      <c r="F24">
        <v>8108088036</v>
      </c>
      <c r="G24">
        <v>107</v>
      </c>
      <c r="H24">
        <v>6160</v>
      </c>
      <c r="I24">
        <f>H24*3/100</f>
        <v>184.8</v>
      </c>
      <c r="J24">
        <f>H24-I24</f>
        <v>5975.2</v>
      </c>
      <c r="K24">
        <v>19.6</v>
      </c>
      <c r="L24">
        <f>J24*K24</f>
        <v>117113.92</v>
      </c>
      <c r="M24">
        <f>G24*6</f>
        <v>642</v>
      </c>
      <c r="Q24">
        <f>L24-M24+N24-O24-P24</f>
        <v>116471.92</v>
      </c>
    </row>
    <row r="25">
      <c r="A25">
        <v>19</v>
      </c>
      <c r="Q25">
        <f>L25-M25+N25-O25-P25</f>
        <v>0</v>
      </c>
    </row>
    <row r="26">
      <c r="A26">
        <v>20</v>
      </c>
      <c r="Q26">
        <f>L26-M26+N26-O26-P26</f>
        <v>0</v>
      </c>
    </row>
    <row r="27">
      <c r="A27">
        <v>21</v>
      </c>
    </row>
    <row r="28">
      <c r="A28">
        <v>22</v>
      </c>
      <c r="G28">
        <v>70</v>
      </c>
      <c r="H28">
        <v>4130</v>
      </c>
    </row>
    <row r="29">
      <c r="A29">
        <v>23</v>
      </c>
      <c r="G29">
        <f>SUM(G7:G28)</f>
        <v>1233</v>
      </c>
      <c r="H29">
        <f>SUM(H7:H28)</f>
        <v>73120</v>
      </c>
      <c r="Q29">
        <f>SUM(Q7:Q28)</f>
        <v>1292087.56</v>
      </c>
    </row>
  </sheetData>
  <mergeCells count="1">
    <mergeCell ref="A2:Q2"/>
  </mergeCells>
  <pageMargins left="0.7" right="0.7" top="0.75" bottom="0.75" header="0.3" footer="0.3"/>
  <ignoredErrors>
    <ignoredError numberStoredAsText="1" sqref="A2:S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4:J125"/>
  <sheetViews>
    <sheetView workbookViewId="0" rightToLeft="0"/>
  </sheetViews>
  <sheetData>
    <row r="6">
      <c r="B6" t="str">
        <v>DATE</v>
      </c>
      <c r="C6" t="str">
        <v>TOTAL</v>
      </c>
      <c r="D6" t="str">
        <v>NO Of Worker</v>
      </c>
      <c r="E6" t="str">
        <v>worker amt</v>
      </c>
      <c r="F6" t="str">
        <v>NO OF BAGS</v>
      </c>
    </row>
    <row r="8">
      <c r="A8">
        <v>1</v>
      </c>
      <c r="B8">
        <v>45757</v>
      </c>
      <c r="C8">
        <v>800</v>
      </c>
    </row>
    <row r="9">
      <c r="A9">
        <v>2</v>
      </c>
      <c r="B9">
        <v>45910</v>
      </c>
      <c r="C9">
        <v>2200</v>
      </c>
    </row>
    <row r="10">
      <c r="A10">
        <v>3</v>
      </c>
      <c r="B10">
        <v>45940</v>
      </c>
      <c r="C10">
        <v>1700</v>
      </c>
    </row>
    <row r="11">
      <c r="A11">
        <v>4</v>
      </c>
      <c r="B11">
        <v>45940</v>
      </c>
      <c r="C11">
        <v>2000</v>
      </c>
    </row>
    <row r="12">
      <c r="A12">
        <v>5</v>
      </c>
      <c r="B12">
        <v>46001</v>
      </c>
      <c r="C12">
        <v>6000</v>
      </c>
    </row>
    <row r="13">
      <c r="A13">
        <v>6</v>
      </c>
      <c r="B13" t="str">
        <v>13/10/2025</v>
      </c>
      <c r="C13">
        <v>9700</v>
      </c>
    </row>
    <row r="14">
      <c r="A14">
        <v>7</v>
      </c>
      <c r="B14" t="str">
        <v>14/10/2025</v>
      </c>
      <c r="C14">
        <v>4800</v>
      </c>
    </row>
    <row r="15">
      <c r="A15">
        <v>8</v>
      </c>
      <c r="B15" t="str">
        <v>15/10/2025</v>
      </c>
      <c r="C15">
        <v>7900</v>
      </c>
    </row>
    <row r="16">
      <c r="A16">
        <v>9</v>
      </c>
      <c r="B16" t="str">
        <v>16/10/2025</v>
      </c>
      <c r="C16">
        <v>7500</v>
      </c>
    </row>
    <row r="17">
      <c r="A17">
        <v>10</v>
      </c>
      <c r="B17" t="str">
        <v>17/10/2025</v>
      </c>
      <c r="C17">
        <v>5800</v>
      </c>
    </row>
    <row r="18">
      <c r="A18">
        <v>11</v>
      </c>
      <c r="B18" t="str">
        <v>18/10/2025</v>
      </c>
      <c r="C18">
        <v>9300</v>
      </c>
    </row>
    <row r="19">
      <c r="A19">
        <v>12</v>
      </c>
      <c r="B19" t="str">
        <v>20/10/2025</v>
      </c>
      <c r="C19">
        <v>8800</v>
      </c>
    </row>
    <row r="20">
      <c r="A20">
        <v>13</v>
      </c>
      <c r="B20" t="str">
        <v>21/10/2025</v>
      </c>
      <c r="C20">
        <v>5200</v>
      </c>
    </row>
    <row r="21">
      <c r="A21">
        <v>14</v>
      </c>
      <c r="B21" t="str">
        <v>24/10/2025</v>
      </c>
      <c r="C21">
        <v>2600</v>
      </c>
    </row>
    <row r="22">
      <c r="A22">
        <v>15</v>
      </c>
      <c r="B22" t="str">
        <v>25/10/2025</v>
      </c>
      <c r="C22">
        <v>10300</v>
      </c>
      <c r="D22">
        <v>7</v>
      </c>
      <c r="E22">
        <f>C22/D22</f>
        <v>1471.4285714285713</v>
      </c>
    </row>
    <row r="23">
      <c r="A23">
        <v>16</v>
      </c>
      <c r="B23" t="str">
        <v>26/10/2025</v>
      </c>
      <c r="C23">
        <v>6700</v>
      </c>
      <c r="D23">
        <v>8</v>
      </c>
      <c r="E23">
        <f>C23/D23</f>
        <v>837.5</v>
      </c>
    </row>
    <row r="24">
      <c r="A24">
        <v>17</v>
      </c>
      <c r="B24" t="str">
        <v>28/10/2025</v>
      </c>
      <c r="C24">
        <v>1500</v>
      </c>
      <c r="D24">
        <v>5</v>
      </c>
      <c r="E24">
        <f>C24/D24</f>
        <v>300</v>
      </c>
    </row>
    <row r="25">
      <c r="A25">
        <v>18</v>
      </c>
      <c r="B25" t="str">
        <v>29/10/2025</v>
      </c>
      <c r="C25">
        <v>800</v>
      </c>
      <c r="D25">
        <v>5</v>
      </c>
      <c r="E25">
        <f>C25/D25</f>
        <v>160</v>
      </c>
    </row>
    <row r="26">
      <c r="A26">
        <v>19</v>
      </c>
      <c r="B26" t="str">
        <v>30/10/2025</v>
      </c>
      <c r="C26">
        <v>4400</v>
      </c>
      <c r="D26">
        <v>5</v>
      </c>
      <c r="E26">
        <f>C26/D26</f>
        <v>880</v>
      </c>
    </row>
    <row r="27">
      <c r="A27">
        <v>20</v>
      </c>
      <c r="B27" t="str">
        <v>31/10/2025</v>
      </c>
      <c r="C27">
        <v>1600</v>
      </c>
      <c r="D27">
        <v>4</v>
      </c>
      <c r="E27">
        <f>C27/D27</f>
        <v>400</v>
      </c>
    </row>
    <row r="28">
      <c r="A28">
        <v>21</v>
      </c>
      <c r="B28">
        <v>45668</v>
      </c>
      <c r="C28">
        <v>9300</v>
      </c>
      <c r="D28">
        <v>10</v>
      </c>
      <c r="E28">
        <f>C28/D28</f>
        <v>930</v>
      </c>
    </row>
    <row r="29">
      <c r="A29">
        <v>22</v>
      </c>
      <c r="B29" t="str">
        <v>2/11/20205</v>
      </c>
      <c r="C29">
        <v>5400</v>
      </c>
      <c r="D29">
        <v>9</v>
      </c>
      <c r="E29">
        <f>C29/D29</f>
        <v>600</v>
      </c>
    </row>
    <row r="30">
      <c r="A30">
        <v>23</v>
      </c>
      <c r="B30">
        <v>45727</v>
      </c>
      <c r="C30">
        <v>10400</v>
      </c>
      <c r="D30">
        <v>9</v>
      </c>
      <c r="E30">
        <f>C30/D30</f>
        <v>1155.5555555555557</v>
      </c>
    </row>
    <row r="31">
      <c r="A31">
        <v>24</v>
      </c>
      <c r="B31">
        <v>45758</v>
      </c>
      <c r="C31">
        <v>10900</v>
      </c>
      <c r="D31">
        <v>9</v>
      </c>
      <c r="E31">
        <f>C31/D31</f>
        <v>1211.111111111111</v>
      </c>
    </row>
    <row r="32">
      <c r="A32">
        <v>25</v>
      </c>
      <c r="B32">
        <v>45788</v>
      </c>
      <c r="C32">
        <v>13300</v>
      </c>
      <c r="D32">
        <v>10</v>
      </c>
      <c r="E32">
        <f>C32/D32</f>
        <v>1330</v>
      </c>
    </row>
    <row r="33">
      <c r="A33">
        <v>26</v>
      </c>
      <c r="B33">
        <v>45819</v>
      </c>
      <c r="C33">
        <v>16300</v>
      </c>
      <c r="D33">
        <v>10</v>
      </c>
      <c r="E33">
        <f>C33/D33</f>
        <v>1630</v>
      </c>
    </row>
    <row r="34">
      <c r="A34">
        <v>27</v>
      </c>
      <c r="B34">
        <v>45849</v>
      </c>
      <c r="C34">
        <v>13000</v>
      </c>
      <c r="D34">
        <v>11</v>
      </c>
      <c r="E34">
        <f>C34/D34</f>
        <v>1181.8181818181818</v>
      </c>
    </row>
    <row r="35">
      <c r="A35">
        <v>28</v>
      </c>
      <c r="B35">
        <v>45880</v>
      </c>
      <c r="C35">
        <v>17000</v>
      </c>
      <c r="D35">
        <v>11</v>
      </c>
      <c r="E35">
        <f>C35/D35</f>
        <v>1545.4545454545455</v>
      </c>
    </row>
    <row r="36">
      <c r="A36">
        <v>29</v>
      </c>
      <c r="B36">
        <v>45911</v>
      </c>
      <c r="C36">
        <v>12200</v>
      </c>
      <c r="D36">
        <v>12</v>
      </c>
      <c r="E36">
        <f>C36/D36</f>
        <v>1016.6666666666666</v>
      </c>
    </row>
    <row r="37">
      <c r="A37">
        <v>30</v>
      </c>
      <c r="B37">
        <v>45941</v>
      </c>
      <c r="C37">
        <v>22000</v>
      </c>
      <c r="D37">
        <v>12</v>
      </c>
      <c r="E37">
        <f>C37/D37</f>
        <v>1833.3333333333333</v>
      </c>
    </row>
    <row r="38">
      <c r="A38">
        <v>31</v>
      </c>
      <c r="B38" t="str">
        <v>11*11*2025</v>
      </c>
      <c r="C38">
        <v>13200</v>
      </c>
      <c r="D38">
        <v>12</v>
      </c>
      <c r="E38">
        <f>C38/D38</f>
        <v>1100</v>
      </c>
    </row>
    <row r="39">
      <c r="A39">
        <v>32</v>
      </c>
      <c r="B39" t="str">
        <v>12*11*2025</v>
      </c>
      <c r="C39">
        <v>16300</v>
      </c>
      <c r="D39">
        <v>13</v>
      </c>
      <c r="E39">
        <f>C39/D39</f>
        <v>1253.8461538461538</v>
      </c>
    </row>
    <row r="40">
      <c r="A40">
        <v>33</v>
      </c>
      <c r="B40" t="str">
        <v>13/11/2025</v>
      </c>
      <c r="C40">
        <v>13100</v>
      </c>
      <c r="D40">
        <v>12</v>
      </c>
      <c r="E40">
        <f>C40/D40</f>
        <v>1091.6666666666667</v>
      </c>
    </row>
    <row r="41">
      <c r="A41">
        <v>34</v>
      </c>
      <c r="B41" t="str">
        <v>14/11/2025</v>
      </c>
      <c r="C41">
        <v>16700</v>
      </c>
      <c r="D41">
        <v>12</v>
      </c>
      <c r="E41">
        <f>C41/D41</f>
        <v>1391.6666666666667</v>
      </c>
    </row>
    <row r="42">
      <c r="A42">
        <v>35</v>
      </c>
      <c r="B42" t="str">
        <v>15/11/2025</v>
      </c>
      <c r="C42">
        <v>12500</v>
      </c>
      <c r="D42">
        <v>14</v>
      </c>
      <c r="E42">
        <f>C42/D42</f>
        <v>892.8571428571429</v>
      </c>
    </row>
    <row r="43">
      <c r="A43">
        <v>36</v>
      </c>
      <c r="B43" t="str">
        <v>16/11/2025</v>
      </c>
      <c r="C43">
        <v>19200</v>
      </c>
      <c r="D43">
        <v>13</v>
      </c>
      <c r="E43">
        <f>C43/D43</f>
        <v>1476.923076923077</v>
      </c>
      <c r="I43">
        <v>20900</v>
      </c>
    </row>
    <row r="44">
      <c r="A44">
        <v>37</v>
      </c>
      <c r="B44" t="str">
        <v>17/11/2025</v>
      </c>
      <c r="C44">
        <v>14700</v>
      </c>
      <c r="D44">
        <v>15</v>
      </c>
      <c r="E44">
        <f>C44/D44</f>
        <v>980</v>
      </c>
      <c r="I44">
        <v>750</v>
      </c>
    </row>
    <row r="45">
      <c r="A45">
        <v>38</v>
      </c>
      <c r="B45" t="str">
        <v>18/11/2025</v>
      </c>
      <c r="C45">
        <v>27000</v>
      </c>
      <c r="D45">
        <v>14</v>
      </c>
      <c r="E45">
        <f>C45/D45</f>
        <v>1928.5714285714287</v>
      </c>
    </row>
    <row r="46">
      <c r="A46">
        <v>39</v>
      </c>
      <c r="B46" t="str">
        <v>19/11/2025</v>
      </c>
      <c r="C46">
        <v>12800</v>
      </c>
      <c r="D46">
        <v>8</v>
      </c>
      <c r="E46">
        <f>C46/D46</f>
        <v>1600</v>
      </c>
    </row>
    <row r="47">
      <c r="A47">
        <v>40</v>
      </c>
      <c r="B47" t="str">
        <v>20/11/2025</v>
      </c>
      <c r="C47">
        <v>21600</v>
      </c>
      <c r="D47">
        <v>14</v>
      </c>
      <c r="E47">
        <f>C47/D47</f>
        <v>1542.857142857143</v>
      </c>
      <c r="F47">
        <v>635</v>
      </c>
    </row>
    <row r="48">
      <c r="A48">
        <v>41</v>
      </c>
      <c r="B48" t="str">
        <v>21/11/2025</v>
      </c>
      <c r="C48">
        <v>19800</v>
      </c>
      <c r="D48">
        <v>12</v>
      </c>
      <c r="E48">
        <f>C48/D48</f>
        <v>1650</v>
      </c>
    </row>
    <row r="49">
      <c r="A49">
        <v>42</v>
      </c>
      <c r="B49" t="str">
        <v>22/11/2025</v>
      </c>
      <c r="C49">
        <v>3100</v>
      </c>
      <c r="D49">
        <v>6</v>
      </c>
      <c r="E49">
        <f>C49/D49</f>
        <v>516.6666666666666</v>
      </c>
    </row>
    <row r="50">
      <c r="A50">
        <v>43</v>
      </c>
      <c r="B50" t="str">
        <v>23/11/2025</v>
      </c>
      <c r="C50">
        <v>800</v>
      </c>
    </row>
    <row r="51">
      <c r="A51">
        <v>44</v>
      </c>
      <c r="B51" t="str">
        <v>24/11/2025</v>
      </c>
      <c r="C51">
        <v>1900</v>
      </c>
    </row>
    <row r="52">
      <c r="A52">
        <v>45</v>
      </c>
      <c r="B52" t="str">
        <v>25/11/2025</v>
      </c>
      <c r="C52">
        <v>3500</v>
      </c>
    </row>
    <row r="53">
      <c r="A53">
        <v>46</v>
      </c>
      <c r="B53" t="str">
        <v>26/11/2025</v>
      </c>
      <c r="C53">
        <v>8400</v>
      </c>
    </row>
    <row r="54">
      <c r="A54">
        <v>47</v>
      </c>
      <c r="B54" t="str">
        <v>27/11/2025</v>
      </c>
      <c r="C54">
        <v>1649</v>
      </c>
    </row>
    <row r="55">
      <c r="A55">
        <v>48</v>
      </c>
      <c r="B55" t="str">
        <v>28/11/2025</v>
      </c>
      <c r="C55">
        <v>2900</v>
      </c>
    </row>
    <row r="56">
      <c r="A56">
        <v>49</v>
      </c>
      <c r="B56" t="str">
        <v>29/11/2025</v>
      </c>
      <c r="C56">
        <v>4950</v>
      </c>
    </row>
    <row r="57">
      <c r="A57">
        <v>50</v>
      </c>
      <c r="B57" t="str">
        <v>30/11/2025</v>
      </c>
      <c r="C57">
        <v>5400</v>
      </c>
    </row>
    <row r="58">
      <c r="A58">
        <v>51</v>
      </c>
      <c r="B58">
        <v>45669</v>
      </c>
      <c r="C58">
        <v>1300</v>
      </c>
    </row>
    <row r="59">
      <c r="A59">
        <v>52</v>
      </c>
      <c r="B59">
        <v>45759</v>
      </c>
      <c r="C59">
        <v>400</v>
      </c>
    </row>
    <row r="60">
      <c r="A60">
        <v>53</v>
      </c>
      <c r="B60">
        <v>45881</v>
      </c>
      <c r="C60">
        <v>5600</v>
      </c>
    </row>
    <row r="61">
      <c r="A61">
        <v>54</v>
      </c>
      <c r="B61">
        <v>45942</v>
      </c>
      <c r="C61">
        <v>2700</v>
      </c>
    </row>
    <row r="62">
      <c r="A62">
        <v>55</v>
      </c>
      <c r="B62">
        <v>45973</v>
      </c>
      <c r="C62">
        <v>15045</v>
      </c>
    </row>
    <row r="63">
      <c r="A63">
        <v>56</v>
      </c>
      <c r="B63">
        <v>46003</v>
      </c>
      <c r="C63">
        <v>10000</v>
      </c>
    </row>
    <row r="64">
      <c r="A64">
        <v>57</v>
      </c>
      <c r="B64" t="str">
        <v>13/12/2025</v>
      </c>
      <c r="C64">
        <v>23000</v>
      </c>
      <c r="D64">
        <v>11</v>
      </c>
      <c r="E64">
        <f>C64/D64</f>
        <v>2090.909090909091</v>
      </c>
    </row>
    <row r="65">
      <c r="A65">
        <v>58</v>
      </c>
      <c r="B65" t="str">
        <v>14/12/2025</v>
      </c>
      <c r="C65">
        <v>9300</v>
      </c>
      <c r="D65">
        <v>10</v>
      </c>
      <c r="E65">
        <f>C65/D65</f>
        <v>930</v>
      </c>
    </row>
    <row r="66">
      <c r="A66">
        <v>59</v>
      </c>
      <c r="B66" t="str">
        <v>15/12/2025</v>
      </c>
      <c r="C66">
        <v>6000</v>
      </c>
    </row>
    <row r="67">
      <c r="A67">
        <v>60</v>
      </c>
      <c r="B67" t="str">
        <v>16/12/2025</v>
      </c>
      <c r="C67">
        <v>4500</v>
      </c>
    </row>
    <row r="68">
      <c r="A68">
        <v>61</v>
      </c>
      <c r="B68" t="str">
        <v>17/12/2025</v>
      </c>
      <c r="C68">
        <v>17000</v>
      </c>
    </row>
    <row r="69">
      <c r="A69">
        <v>62</v>
      </c>
      <c r="B69" t="str">
        <v>18/12/2025</v>
      </c>
      <c r="C69">
        <v>21300</v>
      </c>
    </row>
    <row r="70">
      <c r="A70">
        <v>63</v>
      </c>
      <c r="B70" t="str">
        <v>19/12/2025</v>
      </c>
      <c r="C70">
        <v>12500</v>
      </c>
    </row>
    <row r="71">
      <c r="A71">
        <v>64</v>
      </c>
      <c r="B71" t="str">
        <v>20/12/2025</v>
      </c>
      <c r="C71">
        <v>2000</v>
      </c>
    </row>
    <row r="72">
      <c r="A72">
        <v>65</v>
      </c>
      <c r="B72" t="str">
        <v>21/12/2025</v>
      </c>
      <c r="C72">
        <v>7000</v>
      </c>
    </row>
    <row r="73">
      <c r="A73">
        <v>66</v>
      </c>
      <c r="B73" t="str">
        <v>22/12/2025</v>
      </c>
      <c r="C73">
        <v>8500</v>
      </c>
    </row>
    <row r="74">
      <c r="A74">
        <v>67</v>
      </c>
      <c r="B74" t="str">
        <v>23/12/2025</v>
      </c>
      <c r="C74">
        <v>18300</v>
      </c>
    </row>
    <row r="75">
      <c r="A75">
        <v>68</v>
      </c>
      <c r="B75" t="str">
        <v>24/12/2025</v>
      </c>
      <c r="C75">
        <v>18500</v>
      </c>
    </row>
    <row r="76">
      <c r="A76">
        <v>69</v>
      </c>
      <c r="B76" t="str">
        <v>25/12/2025</v>
      </c>
      <c r="C76">
        <v>8900</v>
      </c>
    </row>
    <row r="77">
      <c r="A77">
        <v>70</v>
      </c>
      <c r="B77" t="str">
        <v>26/12/2025</v>
      </c>
      <c r="C77">
        <v>8500</v>
      </c>
    </row>
    <row r="78">
      <c r="A78">
        <v>71</v>
      </c>
      <c r="B78" t="str">
        <v>27/12/2025</v>
      </c>
      <c r="C78">
        <v>6200</v>
      </c>
    </row>
    <row r="79">
      <c r="A79">
        <v>72</v>
      </c>
      <c r="B79" t="str">
        <v>28/12/2025</v>
      </c>
      <c r="C79">
        <v>13300</v>
      </c>
    </row>
    <row r="80">
      <c r="A80">
        <v>73</v>
      </c>
      <c r="B80" t="str">
        <v>29/12/2025</v>
      </c>
      <c r="C80">
        <v>14100</v>
      </c>
    </row>
    <row r="81">
      <c r="A81">
        <v>74</v>
      </c>
      <c r="B81" t="str">
        <v>30/12/2025</v>
      </c>
      <c r="C81">
        <v>12300</v>
      </c>
    </row>
    <row r="82">
      <c r="A82">
        <v>75</v>
      </c>
      <c r="B82">
        <v>45658</v>
      </c>
      <c r="C82">
        <v>7600</v>
      </c>
    </row>
    <row r="83">
      <c r="A83">
        <v>76</v>
      </c>
      <c r="B83">
        <v>46026</v>
      </c>
      <c r="C83">
        <v>1600</v>
      </c>
    </row>
    <row r="84">
      <c r="A84">
        <v>77</v>
      </c>
      <c r="B84">
        <v>46027</v>
      </c>
      <c r="C84">
        <v>6500</v>
      </c>
    </row>
    <row r="85">
      <c r="A85">
        <v>78</v>
      </c>
      <c r="B85">
        <v>46029</v>
      </c>
      <c r="C85">
        <v>5800</v>
      </c>
    </row>
    <row r="86">
      <c r="A86">
        <v>79</v>
      </c>
      <c r="B86">
        <v>46030</v>
      </c>
      <c r="C86">
        <v>6200</v>
      </c>
    </row>
    <row r="87">
      <c r="A87">
        <v>80</v>
      </c>
      <c r="B87">
        <v>46031</v>
      </c>
      <c r="C87">
        <v>5100</v>
      </c>
    </row>
    <row r="88">
      <c r="A88">
        <v>81</v>
      </c>
      <c r="B88">
        <v>46032</v>
      </c>
      <c r="C88">
        <v>7900</v>
      </c>
    </row>
    <row r="89">
      <c r="A89">
        <v>82</v>
      </c>
      <c r="B89">
        <v>45668</v>
      </c>
      <c r="C89">
        <v>3300</v>
      </c>
    </row>
    <row r="90">
      <c r="A90">
        <v>83</v>
      </c>
      <c r="B90">
        <v>46035</v>
      </c>
      <c r="C90">
        <v>3600</v>
      </c>
    </row>
    <row r="91">
      <c r="A91">
        <v>84</v>
      </c>
      <c r="B91">
        <v>46037</v>
      </c>
      <c r="C91">
        <v>3500</v>
      </c>
    </row>
    <row r="92">
      <c r="A92">
        <v>85</v>
      </c>
      <c r="B92">
        <v>46038</v>
      </c>
      <c r="C92">
        <v>3000</v>
      </c>
    </row>
    <row r="93">
      <c r="A93">
        <v>86</v>
      </c>
      <c r="B93">
        <v>46039</v>
      </c>
      <c r="C93">
        <v>7800</v>
      </c>
    </row>
    <row r="94">
      <c r="A94">
        <v>87</v>
      </c>
      <c r="B94">
        <v>46040</v>
      </c>
      <c r="C94">
        <v>6300</v>
      </c>
    </row>
    <row r="95">
      <c r="A95">
        <v>88</v>
      </c>
      <c r="B95">
        <v>46041</v>
      </c>
      <c r="C95">
        <v>14500</v>
      </c>
    </row>
    <row r="96">
      <c r="A96">
        <v>89</v>
      </c>
      <c r="B96">
        <v>46042</v>
      </c>
      <c r="C96">
        <v>3500</v>
      </c>
    </row>
    <row r="97">
      <c r="A97">
        <v>90</v>
      </c>
      <c r="B97">
        <v>46043</v>
      </c>
      <c r="C97">
        <v>12700</v>
      </c>
    </row>
    <row r="98">
      <c r="A98">
        <v>91</v>
      </c>
      <c r="B98">
        <v>46044</v>
      </c>
      <c r="C98">
        <v>10700</v>
      </c>
    </row>
    <row r="99">
      <c r="A99">
        <v>92</v>
      </c>
      <c r="B99">
        <v>46045</v>
      </c>
      <c r="C99">
        <v>9100</v>
      </c>
    </row>
    <row r="100">
      <c r="A100">
        <v>93</v>
      </c>
      <c r="B100" t="str">
        <v>24*01*2026</v>
      </c>
      <c r="C100">
        <v>12300</v>
      </c>
    </row>
    <row r="101">
      <c r="A101">
        <v>94</v>
      </c>
      <c r="B101" t="str">
        <v>25*01*2026</v>
      </c>
      <c r="C101">
        <v>20250</v>
      </c>
    </row>
    <row r="102">
      <c r="A102">
        <v>95</v>
      </c>
      <c r="B102" t="str">
        <v>26*01*2026</v>
      </c>
      <c r="C102">
        <v>23400</v>
      </c>
    </row>
    <row r="103">
      <c r="A103">
        <v>96</v>
      </c>
      <c r="B103" t="str">
        <v>27*01*2026</v>
      </c>
      <c r="C103">
        <v>16707</v>
      </c>
    </row>
    <row r="104">
      <c r="A104">
        <v>97</v>
      </c>
      <c r="B104" t="str">
        <v>28*01*2026</v>
      </c>
      <c r="C104">
        <v>18100</v>
      </c>
    </row>
    <row r="105">
      <c r="A105">
        <v>98</v>
      </c>
      <c r="B105" t="str">
        <v>29*01*2026</v>
      </c>
      <c r="C105">
        <v>29500</v>
      </c>
    </row>
    <row r="106">
      <c r="A106">
        <v>99</v>
      </c>
      <c r="B106" t="str">
        <v>30*01*2026</v>
      </c>
      <c r="C106">
        <v>22400</v>
      </c>
    </row>
    <row r="107">
      <c r="A107">
        <v>100</v>
      </c>
      <c r="B107" t="str">
        <v>31*01*2026</v>
      </c>
      <c r="C107">
        <v>13700</v>
      </c>
    </row>
    <row r="108">
      <c r="A108">
        <v>101</v>
      </c>
      <c r="B108" t="str">
        <v>1*02*2026</v>
      </c>
      <c r="C108">
        <v>9800</v>
      </c>
    </row>
    <row r="109">
      <c r="A109">
        <v>102</v>
      </c>
      <c r="B109" t="str">
        <v>2*01*2026</v>
      </c>
      <c r="C109">
        <v>16500</v>
      </c>
    </row>
    <row r="110">
      <c r="A110">
        <v>103</v>
      </c>
      <c r="B110" t="str">
        <v>3*02*2026</v>
      </c>
      <c r="C110">
        <v>20600</v>
      </c>
    </row>
    <row r="111">
      <c r="A111">
        <v>104</v>
      </c>
      <c r="B111" t="str">
        <v>4*02*2026</v>
      </c>
      <c r="C111">
        <v>17400</v>
      </c>
    </row>
    <row r="112">
      <c r="A112">
        <v>105</v>
      </c>
      <c r="B112" t="str">
        <v>5*02*2025</v>
      </c>
      <c r="C112">
        <v>14000</v>
      </c>
    </row>
    <row r="113">
      <c r="A113">
        <v>106</v>
      </c>
      <c r="B113" t="str">
        <v>6*02*2026</v>
      </c>
      <c r="C113">
        <v>29000</v>
      </c>
    </row>
    <row r="114">
      <c r="A114">
        <v>107</v>
      </c>
      <c r="B114" t="str">
        <v>7*02*2026</v>
      </c>
      <c r="C114">
        <v>30500</v>
      </c>
    </row>
    <row r="115">
      <c r="A115">
        <v>108</v>
      </c>
      <c r="B115" t="str">
        <v>8*02*2026</v>
      </c>
      <c r="C115">
        <v>30400</v>
      </c>
    </row>
    <row r="116">
      <c r="B116" t="str">
        <v>9*02*2026</v>
      </c>
      <c r="C116">
        <v>15300</v>
      </c>
    </row>
    <row r="117">
      <c r="B117" t="str">
        <v>10*02*2026</v>
      </c>
      <c r="C117">
        <v>22000</v>
      </c>
    </row>
    <row r="125">
      <c r="C125">
        <f>SUM(C8:C124)</f>
        <v>1175701</v>
      </c>
    </row>
  </sheetData>
  <pageMargins left="0.7" right="0.7" top="0.75" bottom="0.75" header="0.3" footer="0.3"/>
  <ignoredErrors>
    <ignoredError numberStoredAsText="1" sqref="A4:J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7:P101"/>
  <sheetViews>
    <sheetView workbookViewId="0" rightToLeft="0"/>
  </sheetViews>
  <sheetData>
    <row r="7">
      <c r="A7" t="str">
        <v>SL.NO</v>
      </c>
      <c r="B7" t="str">
        <v>BILL NUM</v>
      </c>
      <c r="C7" t="str">
        <v>DATE</v>
      </c>
      <c r="D7" t="str">
        <v>LORRY NUM</v>
      </c>
      <c r="E7" t="str">
        <v>BAGS</v>
      </c>
      <c r="F7" t="str">
        <v>NET WEIGHT</v>
      </c>
      <c r="G7" t="str">
        <v>FACTORY WIGT</v>
      </c>
      <c r="H7" t="str">
        <v>RATE</v>
      </c>
      <c r="I7" t="str">
        <v>FLIGHT</v>
      </c>
      <c r="J7" t="str">
        <v>AMOUNT</v>
      </c>
      <c r="K7" t="str">
        <v>party</v>
      </c>
      <c r="L7" t="str">
        <v>payment</v>
      </c>
    </row>
    <row r="10">
      <c r="B10">
        <v>89</v>
      </c>
      <c r="C10" t="str">
        <v>13/10/2025</v>
      </c>
      <c r="D10" t="str">
        <v>KA/02/AG/9974</v>
      </c>
      <c r="E10">
        <v>247</v>
      </c>
      <c r="F10">
        <v>14010</v>
      </c>
      <c r="H10">
        <v>24</v>
      </c>
      <c r="I10">
        <v>9800</v>
      </c>
      <c r="J10">
        <f>F10*H10-I10</f>
        <v>326440</v>
      </c>
      <c r="K10" t="str">
        <v>Bharath malnad</v>
      </c>
      <c r="L10" t="str">
        <v>60 Days</v>
      </c>
      <c r="N10">
        <f>F10*20.75</f>
        <v>290707.5</v>
      </c>
      <c r="O10">
        <f>J10-N10</f>
        <v>35732.5</v>
      </c>
    </row>
    <row r="11">
      <c r="A11">
        <v>2</v>
      </c>
      <c r="B11">
        <v>91</v>
      </c>
      <c r="C11" t="str">
        <v>15/10/2025</v>
      </c>
      <c r="D11" t="str">
        <v>KA/02/AG/9974</v>
      </c>
      <c r="E11">
        <v>250</v>
      </c>
      <c r="F11">
        <v>14070</v>
      </c>
      <c r="H11">
        <v>24</v>
      </c>
      <c r="I11">
        <v>9800</v>
      </c>
      <c r="J11">
        <f>F11*H11-I11</f>
        <v>327880</v>
      </c>
      <c r="K11" t="str">
        <v>Bharath malnad</v>
      </c>
      <c r="L11" t="str">
        <v>60 Days</v>
      </c>
      <c r="N11">
        <f>F11*20.75</f>
        <v>291952.5</v>
      </c>
      <c r="O11">
        <f>J11-N11</f>
        <v>35927.5</v>
      </c>
    </row>
    <row r="12">
      <c r="A12">
        <v>3</v>
      </c>
      <c r="B12">
        <v>92</v>
      </c>
      <c r="C12" t="str">
        <v>15/10/2025</v>
      </c>
      <c r="D12" t="str">
        <v>ka/20/AB/6822</v>
      </c>
      <c r="E12">
        <v>640</v>
      </c>
      <c r="F12">
        <v>36190</v>
      </c>
      <c r="G12">
        <v>36060</v>
      </c>
      <c r="H12">
        <v>23.5</v>
      </c>
      <c r="I12">
        <v>40000</v>
      </c>
      <c r="J12">
        <f>F12*H12-I12</f>
        <v>810465</v>
      </c>
      <c r="K12" t="str">
        <v xml:space="preserve">Tufan </v>
      </c>
      <c r="L12" t="str">
        <v>30 Days</v>
      </c>
      <c r="M12">
        <f>F12/E12</f>
        <v>56.546875</v>
      </c>
      <c r="N12">
        <f>F12*20.75</f>
        <v>750942.5</v>
      </c>
      <c r="O12">
        <f>J12-N12</f>
        <v>59522.5</v>
      </c>
    </row>
    <row r="13">
      <c r="A13">
        <v>4</v>
      </c>
      <c r="B13">
        <v>93</v>
      </c>
      <c r="C13" t="str">
        <v>17/10/2025</v>
      </c>
      <c r="D13" t="str">
        <v>KA/02/AG/9974</v>
      </c>
      <c r="E13">
        <v>250</v>
      </c>
      <c r="F13">
        <v>14110</v>
      </c>
      <c r="H13">
        <v>24</v>
      </c>
      <c r="I13">
        <v>9800</v>
      </c>
      <c r="J13">
        <f>F13*H13-I13</f>
        <v>328840</v>
      </c>
      <c r="K13" t="str">
        <v>Bharath malnad</v>
      </c>
      <c r="L13" t="str">
        <v>60 Days</v>
      </c>
      <c r="M13">
        <f>F13/E13</f>
        <v>56.44</v>
      </c>
      <c r="N13">
        <f>F13*20.75</f>
        <v>292782.5</v>
      </c>
      <c r="O13">
        <f>J13-N13</f>
        <v>36057.5</v>
      </c>
    </row>
    <row r="14">
      <c r="A14">
        <v>5</v>
      </c>
      <c r="B14">
        <v>94</v>
      </c>
      <c r="C14" t="str">
        <v>18/10/2025</v>
      </c>
      <c r="D14" t="str">
        <v>KA/28/AB/0142</v>
      </c>
      <c r="E14">
        <v>444</v>
      </c>
      <c r="F14">
        <v>24810</v>
      </c>
      <c r="H14">
        <v>23.5</v>
      </c>
      <c r="I14">
        <v>28000</v>
      </c>
      <c r="J14">
        <f>F14*H14-I14</f>
        <v>555035</v>
      </c>
      <c r="K14" t="str">
        <v xml:space="preserve">Tufan </v>
      </c>
      <c r="L14" t="str">
        <v>30 Days</v>
      </c>
      <c r="M14">
        <f>F14/E14</f>
        <v>55.87837837837838</v>
      </c>
      <c r="N14">
        <f>F14*20.75</f>
        <v>514807.5</v>
      </c>
      <c r="O14">
        <f>J14-N14</f>
        <v>40227.5</v>
      </c>
    </row>
    <row r="15">
      <c r="A15">
        <v>6</v>
      </c>
      <c r="B15">
        <v>95</v>
      </c>
      <c r="C15" t="str">
        <v>20/10/2025</v>
      </c>
      <c r="D15" t="str">
        <v>KA/20/AB/6822</v>
      </c>
      <c r="E15">
        <v>590</v>
      </c>
      <c r="F15">
        <v>33670</v>
      </c>
      <c r="G15">
        <v>33700</v>
      </c>
      <c r="H15">
        <v>23.5</v>
      </c>
      <c r="I15">
        <v>38000</v>
      </c>
      <c r="J15">
        <f>F15*H15-I15</f>
        <v>753245</v>
      </c>
      <c r="K15" t="str">
        <v xml:space="preserve">Tufan </v>
      </c>
      <c r="L15" t="str">
        <v>30 dAYS</v>
      </c>
      <c r="M15">
        <f>F15/E15</f>
        <v>57.067796610169495</v>
      </c>
      <c r="N15">
        <f>F15*20.75</f>
        <v>698652.5</v>
      </c>
      <c r="O15">
        <f>J15-N15</f>
        <v>54592.5</v>
      </c>
    </row>
    <row r="16">
      <c r="A16">
        <v>7</v>
      </c>
      <c r="B16">
        <v>96</v>
      </c>
      <c r="C16" t="str">
        <v>26/10/2025</v>
      </c>
      <c r="D16" t="str">
        <v>ka/20/AB/6822</v>
      </c>
      <c r="E16">
        <v>673</v>
      </c>
      <c r="F16">
        <v>39020</v>
      </c>
      <c r="G16">
        <v>39000</v>
      </c>
      <c r="H16">
        <v>23</v>
      </c>
      <c r="I16">
        <v>43000</v>
      </c>
      <c r="J16">
        <f>F16*H16-I16</f>
        <v>854460</v>
      </c>
      <c r="K16" t="str">
        <v xml:space="preserve">Tufan </v>
      </c>
      <c r="L16" t="str">
        <v>30 Days</v>
      </c>
      <c r="M16">
        <f>F16/E16</f>
        <v>57.97919762258544</v>
      </c>
      <c r="N16">
        <f>F16*20.25</f>
        <v>790155</v>
      </c>
      <c r="O16">
        <f>J16-N16</f>
        <v>64305</v>
      </c>
    </row>
    <row r="17">
      <c r="A17">
        <v>8</v>
      </c>
      <c r="B17">
        <v>97</v>
      </c>
      <c r="C17">
        <v>45668</v>
      </c>
      <c r="D17" t="str">
        <v>ka/20/AB/6822</v>
      </c>
      <c r="E17">
        <v>635</v>
      </c>
      <c r="F17">
        <v>36850</v>
      </c>
      <c r="G17">
        <v>36840</v>
      </c>
      <c r="H17">
        <v>23</v>
      </c>
      <c r="I17">
        <v>41000</v>
      </c>
      <c r="J17">
        <f>F17*H17-I17</f>
        <v>806550</v>
      </c>
      <c r="K17" t="str">
        <v xml:space="preserve">Tufan </v>
      </c>
      <c r="L17" t="str">
        <v>30 Days</v>
      </c>
      <c r="M17">
        <f>F17/E17</f>
        <v>58.031496062992126</v>
      </c>
      <c r="N17">
        <f>F17*20.25</f>
        <v>746212.5</v>
      </c>
      <c r="O17">
        <f>J17-N17</f>
        <v>60337.5</v>
      </c>
    </row>
    <row r="18">
      <c r="A18">
        <v>9</v>
      </c>
      <c r="B18">
        <v>98</v>
      </c>
      <c r="C18">
        <v>45788</v>
      </c>
      <c r="D18" t="str">
        <v>ka/20/AB/6822</v>
      </c>
      <c r="E18">
        <v>640</v>
      </c>
      <c r="F18">
        <v>37320</v>
      </c>
      <c r="G18">
        <v>37230</v>
      </c>
      <c r="H18">
        <v>22</v>
      </c>
      <c r="I18">
        <v>42000</v>
      </c>
      <c r="J18">
        <f>F18*H18-I18</f>
        <v>779040</v>
      </c>
      <c r="K18" t="str">
        <v xml:space="preserve">Tufan </v>
      </c>
      <c r="L18" t="str">
        <v>30 Days</v>
      </c>
      <c r="M18">
        <f>F18/E18</f>
        <v>58.3125</v>
      </c>
      <c r="N18">
        <f>F18*19.5</f>
        <v>727740</v>
      </c>
      <c r="O18">
        <f>J18-N18</f>
        <v>51300</v>
      </c>
    </row>
    <row r="19">
      <c r="A19">
        <v>10</v>
      </c>
      <c r="B19">
        <v>99</v>
      </c>
      <c r="C19">
        <v>45819</v>
      </c>
      <c r="D19" t="str">
        <v>KA-07-B-4940</v>
      </c>
      <c r="E19">
        <v>620</v>
      </c>
      <c r="F19">
        <v>35740</v>
      </c>
      <c r="G19">
        <v>35600</v>
      </c>
      <c r="H19">
        <v>21.5</v>
      </c>
      <c r="I19">
        <v>40000</v>
      </c>
      <c r="J19">
        <f>F19*H19-I19</f>
        <v>728410</v>
      </c>
      <c r="K19" t="str">
        <v>FRESH CHOICE</v>
      </c>
      <c r="L19" t="str">
        <v>30 Days</v>
      </c>
      <c r="M19">
        <f>F19/E19</f>
        <v>57.645161290322584</v>
      </c>
      <c r="N19">
        <f>F19*19.1</f>
        <v>682634</v>
      </c>
      <c r="O19">
        <f>J19-N19</f>
        <v>45776</v>
      </c>
    </row>
    <row r="20">
      <c r="A20">
        <v>11</v>
      </c>
      <c r="B20">
        <v>100</v>
      </c>
      <c r="C20">
        <v>45880</v>
      </c>
      <c r="D20" t="str">
        <v>KA-40-A-9012</v>
      </c>
      <c r="E20">
        <v>646</v>
      </c>
      <c r="F20">
        <v>38130</v>
      </c>
      <c r="H20">
        <v>21.5</v>
      </c>
      <c r="I20">
        <v>44500</v>
      </c>
      <c r="J20">
        <f>F20*H20-I20</f>
        <v>775295</v>
      </c>
      <c r="K20" t="str">
        <v>FRESH CHOICE</v>
      </c>
      <c r="L20" t="str">
        <v>30 Days</v>
      </c>
      <c r="M20">
        <f>F20/E20</f>
        <v>59.024767801857585</v>
      </c>
      <c r="N20">
        <f>F20*19.1</f>
        <v>728283</v>
      </c>
      <c r="O20">
        <f>J20-N20</f>
        <v>47012</v>
      </c>
    </row>
    <row r="21">
      <c r="A21">
        <v>12</v>
      </c>
      <c r="B21">
        <v>101</v>
      </c>
      <c r="C21">
        <v>45911</v>
      </c>
      <c r="D21" t="str">
        <v>KA-20-AB-6822</v>
      </c>
      <c r="E21">
        <v>652</v>
      </c>
      <c r="F21">
        <v>37780</v>
      </c>
      <c r="G21">
        <v>37690</v>
      </c>
      <c r="H21">
        <v>22</v>
      </c>
      <c r="I21">
        <v>42000</v>
      </c>
      <c r="J21">
        <f>F21*H21-I21</f>
        <v>789160</v>
      </c>
      <c r="K21" t="str">
        <v xml:space="preserve">Tufan </v>
      </c>
      <c r="L21" t="str">
        <v>30 dAYS</v>
      </c>
      <c r="M21">
        <f>F21/E21</f>
        <v>57.94478527607362</v>
      </c>
      <c r="N21">
        <f>F21*19.1</f>
        <v>721598</v>
      </c>
      <c r="O21">
        <f>J21-N21</f>
        <v>67562</v>
      </c>
    </row>
    <row r="22">
      <c r="A22">
        <v>13</v>
      </c>
      <c r="B22">
        <v>102</v>
      </c>
      <c r="C22">
        <v>45941</v>
      </c>
      <c r="D22" t="str">
        <v>KA-16-C-8080</v>
      </c>
      <c r="E22">
        <v>550</v>
      </c>
      <c r="F22">
        <v>31980</v>
      </c>
      <c r="H22">
        <v>20.7</v>
      </c>
      <c r="I22">
        <v>29000</v>
      </c>
      <c r="J22">
        <f>F22*H22-I22</f>
        <v>632986</v>
      </c>
      <c r="K22" t="str">
        <v>SANTOS FARM</v>
      </c>
      <c r="L22" t="str">
        <v>15 DAYS</v>
      </c>
      <c r="M22">
        <f>F22/E22</f>
        <v>58.14545454545455</v>
      </c>
      <c r="N22">
        <f>F22*18.9</f>
        <v>604422</v>
      </c>
      <c r="O22">
        <f>J22-N22</f>
        <v>28564</v>
      </c>
    </row>
    <row r="23">
      <c r="A23">
        <v>14</v>
      </c>
      <c r="B23">
        <v>103</v>
      </c>
      <c r="C23">
        <v>45941</v>
      </c>
      <c r="D23" t="str">
        <v>KA-48-A-3219</v>
      </c>
      <c r="E23">
        <v>661</v>
      </c>
      <c r="F23">
        <v>38160</v>
      </c>
      <c r="H23">
        <v>22</v>
      </c>
      <c r="I23">
        <v>42000</v>
      </c>
      <c r="J23">
        <f>F23*H23-I23</f>
        <v>797520</v>
      </c>
      <c r="K23" t="str">
        <v xml:space="preserve">Tufan </v>
      </c>
      <c r="L23" t="str">
        <v>30 DAYS</v>
      </c>
      <c r="M23">
        <f>F23/E23</f>
        <v>57.73071104387292</v>
      </c>
      <c r="N23">
        <f>F23*18.9</f>
        <v>721224</v>
      </c>
      <c r="O23">
        <f>J23-N23</f>
        <v>76296</v>
      </c>
    </row>
    <row r="24">
      <c r="A24">
        <v>15</v>
      </c>
      <c r="B24">
        <v>104</v>
      </c>
      <c r="C24">
        <v>45972</v>
      </c>
      <c r="D24" t="str">
        <v>KA-25-D-8001</v>
      </c>
      <c r="E24">
        <v>581</v>
      </c>
      <c r="F24">
        <v>34100</v>
      </c>
      <c r="H24">
        <v>20.7</v>
      </c>
      <c r="I24">
        <v>33000</v>
      </c>
      <c r="J24">
        <f>F24*H24-I24</f>
        <v>672870</v>
      </c>
      <c r="K24" t="str">
        <v>SANTOS FARM</v>
      </c>
      <c r="L24" t="str">
        <v>15 DAYS</v>
      </c>
      <c r="M24">
        <f>F24/E24</f>
        <v>58.69191049913942</v>
      </c>
      <c r="N24">
        <f>F24*18.9</f>
        <v>644490</v>
      </c>
      <c r="O24">
        <f>J24-N24</f>
        <v>28380</v>
      </c>
    </row>
    <row r="25">
      <c r="A25">
        <v>16</v>
      </c>
      <c r="B25">
        <v>105</v>
      </c>
      <c r="C25">
        <v>46002</v>
      </c>
      <c r="D25" t="str">
        <v>KA-48-A-3219</v>
      </c>
      <c r="E25">
        <v>701</v>
      </c>
      <c r="F25">
        <v>40590</v>
      </c>
      <c r="H25">
        <v>21</v>
      </c>
      <c r="I25">
        <v>40000</v>
      </c>
      <c r="J25">
        <f>F25*H25-I25</f>
        <v>812390</v>
      </c>
      <c r="K25" t="str">
        <v>SANTOS FARM</v>
      </c>
      <c r="L25" t="str">
        <v>15 DAYS</v>
      </c>
      <c r="M25">
        <f>F25/E25</f>
        <v>57.90299572039943</v>
      </c>
      <c r="N25">
        <f>F25*19</f>
        <v>771210</v>
      </c>
      <c r="O25">
        <f>J25-N25</f>
        <v>41180</v>
      </c>
    </row>
    <row r="26">
      <c r="A26">
        <v>17</v>
      </c>
      <c r="B26">
        <v>106</v>
      </c>
      <c r="C26" t="str">
        <v>15/11/2025</v>
      </c>
      <c r="D26" t="str">
        <v>KA-09-AB-3730</v>
      </c>
      <c r="E26">
        <v>550</v>
      </c>
      <c r="F26">
        <v>32020</v>
      </c>
      <c r="H26">
        <v>21</v>
      </c>
      <c r="I26">
        <v>32000</v>
      </c>
      <c r="J26">
        <f>F26*H26-I26</f>
        <v>640420</v>
      </c>
      <c r="K26" t="str">
        <v>JANANI</v>
      </c>
      <c r="L26" t="str">
        <v>15 DAYS</v>
      </c>
      <c r="M26">
        <f>F26/E26</f>
        <v>58.21818181818182</v>
      </c>
      <c r="N26">
        <f>F26*19</f>
        <v>608380</v>
      </c>
      <c r="O26">
        <f>J26-N26</f>
        <v>32040</v>
      </c>
    </row>
    <row r="27">
      <c r="A27">
        <v>18</v>
      </c>
      <c r="B27">
        <v>108</v>
      </c>
      <c r="C27" t="str">
        <v>16/11/2025</v>
      </c>
      <c r="D27" t="str">
        <v>KA-53-5299</v>
      </c>
      <c r="E27">
        <v>512</v>
      </c>
      <c r="F27">
        <v>30050</v>
      </c>
      <c r="H27">
        <v>21</v>
      </c>
      <c r="I27">
        <v>30000</v>
      </c>
      <c r="J27">
        <f>F27*H27-I27</f>
        <v>601050</v>
      </c>
      <c r="K27" t="str">
        <v>SANTOS FARM</v>
      </c>
      <c r="L27" t="str">
        <v>15 DAYS</v>
      </c>
      <c r="M27">
        <f>F27/E27</f>
        <v>58.69140625</v>
      </c>
      <c r="N27">
        <f>F27*18.9</f>
        <v>567945</v>
      </c>
      <c r="O27">
        <f>J27-N27</f>
        <v>33105</v>
      </c>
    </row>
    <row r="28">
      <c r="A28">
        <v>19</v>
      </c>
      <c r="B28">
        <v>107</v>
      </c>
      <c r="C28" t="str">
        <v>16/11/2025</v>
      </c>
      <c r="D28" t="str">
        <v>KA-01-D-8126</v>
      </c>
      <c r="E28">
        <v>472</v>
      </c>
      <c r="F28">
        <v>27550</v>
      </c>
      <c r="H28">
        <v>21</v>
      </c>
      <c r="I28">
        <v>28000</v>
      </c>
      <c r="J28">
        <f>F28*H28-I28</f>
        <v>550550</v>
      </c>
      <c r="K28" t="str">
        <v>JANANI</v>
      </c>
      <c r="L28" t="str">
        <v>15 DAYS</v>
      </c>
      <c r="M28">
        <f>F28/E28</f>
        <v>58.36864406779661</v>
      </c>
      <c r="N28">
        <f>F28*18.9</f>
        <v>520694.99999999994</v>
      </c>
      <c r="O28">
        <f>J28-N28</f>
        <v>29855.00000000006</v>
      </c>
    </row>
    <row r="29">
      <c r="A29">
        <v>20</v>
      </c>
      <c r="B29">
        <v>109</v>
      </c>
      <c r="C29" t="str">
        <v>18/11/2025</v>
      </c>
      <c r="D29" t="str">
        <v>KA-16-AA-7148</v>
      </c>
      <c r="E29">
        <v>720</v>
      </c>
      <c r="F29">
        <v>42170</v>
      </c>
      <c r="H29">
        <v>21</v>
      </c>
      <c r="I29">
        <v>42000</v>
      </c>
      <c r="J29">
        <f>F29*H29-I29</f>
        <v>843570</v>
      </c>
      <c r="K29" t="str">
        <v>SANTOS FARM</v>
      </c>
      <c r="L29" t="str">
        <v>15 DAYS</v>
      </c>
      <c r="M29">
        <f>F29/E29</f>
        <v>58.56944444444444</v>
      </c>
      <c r="N29">
        <f>F29*18.9</f>
        <v>797012.9999999999</v>
      </c>
      <c r="O29">
        <f>J29-N29</f>
        <v>46557.00000000012</v>
      </c>
    </row>
    <row r="30">
      <c r="A30">
        <v>21</v>
      </c>
      <c r="B30">
        <v>110</v>
      </c>
      <c r="C30" t="str">
        <v>18/11/2025</v>
      </c>
      <c r="D30" t="str">
        <v>KA-20-AB-6822</v>
      </c>
      <c r="E30">
        <v>645</v>
      </c>
      <c r="F30">
        <v>36840</v>
      </c>
      <c r="H30">
        <v>20.8</v>
      </c>
      <c r="I30">
        <v>40000</v>
      </c>
      <c r="J30">
        <f>F30*H30-I30</f>
        <v>726272</v>
      </c>
      <c r="K30" t="str">
        <v xml:space="preserve">Tufan </v>
      </c>
      <c r="L30" t="str">
        <v>30 Days</v>
      </c>
      <c r="M30">
        <f>F30/E30</f>
        <v>57.116279069767444</v>
      </c>
      <c r="N30">
        <f>F30*19</f>
        <v>699960</v>
      </c>
      <c r="O30">
        <f>J30-N30</f>
        <v>26312</v>
      </c>
    </row>
    <row r="31">
      <c r="A31">
        <v>22</v>
      </c>
      <c r="B31">
        <v>111</v>
      </c>
      <c r="C31" t="str">
        <v>20/11/2025</v>
      </c>
      <c r="D31" t="str">
        <v>KA-19-D-5044</v>
      </c>
      <c r="E31">
        <v>545</v>
      </c>
      <c r="F31">
        <v>31310</v>
      </c>
      <c r="H31">
        <v>20.5</v>
      </c>
      <c r="I31">
        <v>32000</v>
      </c>
      <c r="J31">
        <f>F31*H31-I31</f>
        <v>609855</v>
      </c>
      <c r="K31" t="str">
        <v>SANTOS FARM</v>
      </c>
      <c r="L31" t="str">
        <v>15 DAYS</v>
      </c>
      <c r="M31">
        <f>F31/E31</f>
        <v>57.44954128440367</v>
      </c>
      <c r="N31">
        <f>F31*18.7</f>
        <v>585497</v>
      </c>
      <c r="O31">
        <f>J31-N31</f>
        <v>24358</v>
      </c>
    </row>
    <row r="32">
      <c r="A32">
        <v>23</v>
      </c>
      <c r="B32">
        <v>112</v>
      </c>
      <c r="C32" t="str">
        <v>20/11/2025</v>
      </c>
      <c r="D32" t="str">
        <v>KA-16-C-8080</v>
      </c>
      <c r="E32">
        <v>580</v>
      </c>
      <c r="F32">
        <v>33320</v>
      </c>
      <c r="H32">
        <v>20.5</v>
      </c>
      <c r="I32">
        <v>34000</v>
      </c>
      <c r="J32">
        <f>F32*H32-I32</f>
        <v>649060</v>
      </c>
      <c r="K32" t="str">
        <v>SANTOS FARM</v>
      </c>
      <c r="L32" t="str">
        <v>15 DAYS</v>
      </c>
      <c r="M32">
        <f>F32/E32</f>
        <v>57.44827586206897</v>
      </c>
      <c r="N32">
        <f>F32*18.7</f>
        <v>623084</v>
      </c>
      <c r="O32">
        <f>J32-N32</f>
        <v>25976</v>
      </c>
    </row>
    <row r="33">
      <c r="A33">
        <v>24</v>
      </c>
      <c r="B33">
        <v>113</v>
      </c>
      <c r="C33" t="str">
        <v>21/11*2025</v>
      </c>
      <c r="D33" t="str">
        <v>KA-01-C-8697</v>
      </c>
      <c r="E33">
        <v>550</v>
      </c>
      <c r="F33">
        <v>31680</v>
      </c>
      <c r="H33">
        <v>20.5</v>
      </c>
      <c r="I33">
        <v>32000</v>
      </c>
      <c r="J33">
        <f>F33*H33-I33</f>
        <v>617440</v>
      </c>
      <c r="K33" t="str">
        <v>SANTOS FARM</v>
      </c>
      <c r="L33" t="str">
        <v>15 DAYS</v>
      </c>
      <c r="M33">
        <f>F33/E33</f>
        <v>57.6</v>
      </c>
      <c r="N33">
        <f>F33*18.9</f>
        <v>598752</v>
      </c>
      <c r="O33">
        <f>J33-N33</f>
        <v>18688</v>
      </c>
    </row>
    <row r="34">
      <c r="A34">
        <v>25</v>
      </c>
      <c r="B34">
        <v>114</v>
      </c>
      <c r="C34" t="str">
        <v>21*11*2025</v>
      </c>
      <c r="D34" t="str">
        <v>KA-48-A-3219</v>
      </c>
      <c r="E34">
        <v>755</v>
      </c>
      <c r="F34">
        <v>44250</v>
      </c>
      <c r="H34">
        <v>20.5</v>
      </c>
      <c r="I34">
        <v>42000</v>
      </c>
      <c r="J34">
        <f>F34*H34-I34</f>
        <v>865125</v>
      </c>
      <c r="K34" t="str">
        <v>SANTOS FARM</v>
      </c>
      <c r="L34" t="str">
        <v>15 DAYS</v>
      </c>
      <c r="M34">
        <f>F34/E34</f>
        <v>58.609271523178805</v>
      </c>
      <c r="N34">
        <f>F34*19</f>
        <v>840750</v>
      </c>
      <c r="O34">
        <f>J34-N34</f>
        <v>24375</v>
      </c>
    </row>
    <row r="35">
      <c r="A35">
        <v>26</v>
      </c>
      <c r="B35">
        <v>115</v>
      </c>
      <c r="C35" t="str">
        <v>26*11*2025</v>
      </c>
      <c r="D35" t="str">
        <v>KA-14-B-5518</v>
      </c>
      <c r="E35">
        <v>515</v>
      </c>
      <c r="F35">
        <v>29850</v>
      </c>
      <c r="H35">
        <v>20.7</v>
      </c>
      <c r="I35">
        <v>32000</v>
      </c>
      <c r="J35">
        <f>F35*H35-I35</f>
        <v>585895</v>
      </c>
      <c r="K35" t="str">
        <v>FRESH CHOICE</v>
      </c>
      <c r="L35" t="str">
        <v>30 Days</v>
      </c>
      <c r="M35">
        <f>F35/E35</f>
        <v>57.96116504854369</v>
      </c>
      <c r="N35">
        <f>F35*19</f>
        <v>567150</v>
      </c>
      <c r="O35">
        <f>J35-N35</f>
        <v>18745</v>
      </c>
    </row>
    <row r="36">
      <c r="A36">
        <v>27</v>
      </c>
      <c r="B36">
        <v>116</v>
      </c>
      <c r="C36" t="str">
        <v>8*12*2025</v>
      </c>
      <c r="D36" t="str">
        <v>KA-16-B-9288</v>
      </c>
      <c r="E36">
        <v>554</v>
      </c>
      <c r="F36">
        <v>31630</v>
      </c>
      <c r="H36">
        <v>22.5</v>
      </c>
      <c r="I36">
        <v>32000</v>
      </c>
      <c r="J36">
        <f>F36*H36-I36</f>
        <v>679675</v>
      </c>
      <c r="K36" t="str">
        <v>SANTOS FARM</v>
      </c>
      <c r="L36" t="str">
        <v>15 DAYS</v>
      </c>
      <c r="M36">
        <f>F36/E36</f>
        <v>57.09386281588448</v>
      </c>
      <c r="N36">
        <f>F36*20</f>
        <v>632600</v>
      </c>
      <c r="O36">
        <f>J36-N36</f>
        <v>47075</v>
      </c>
    </row>
    <row r="37">
      <c r="A37">
        <v>28</v>
      </c>
      <c r="B37">
        <v>117</v>
      </c>
      <c r="C37" t="str">
        <v>11*12*2025</v>
      </c>
      <c r="D37" t="str">
        <v>KA-20-AB-6822</v>
      </c>
      <c r="E37">
        <v>670</v>
      </c>
      <c r="F37">
        <v>38770</v>
      </c>
      <c r="H37">
        <v>22.5</v>
      </c>
      <c r="I37">
        <v>43000</v>
      </c>
      <c r="J37">
        <f>F37*H37-I37</f>
        <v>829325</v>
      </c>
      <c r="K37" t="str">
        <v xml:space="preserve">Tufan </v>
      </c>
      <c r="L37" t="str">
        <v>30 Days</v>
      </c>
      <c r="M37">
        <f>F37/E37</f>
        <v>57.865671641791046</v>
      </c>
      <c r="N37">
        <f>F37*20</f>
        <v>775400</v>
      </c>
      <c r="O37">
        <f>J37-N37</f>
        <v>53925</v>
      </c>
    </row>
    <row r="38">
      <c r="A38">
        <v>29</v>
      </c>
      <c r="B38">
        <v>119</v>
      </c>
      <c r="C38" t="str">
        <v>13*12*2025</v>
      </c>
      <c r="D38" t="str">
        <v>KA-20-AB-6822</v>
      </c>
      <c r="E38">
        <v>691</v>
      </c>
      <c r="F38">
        <v>39720</v>
      </c>
      <c r="H38">
        <v>22.5</v>
      </c>
      <c r="I38">
        <v>43000</v>
      </c>
      <c r="J38">
        <f>F38*H38-I38</f>
        <v>850700</v>
      </c>
      <c r="K38" t="str">
        <v xml:space="preserve">Tufan </v>
      </c>
      <c r="L38" t="str">
        <v>30 Days</v>
      </c>
      <c r="M38">
        <f>F38/E38</f>
        <v>57.48191027496382</v>
      </c>
      <c r="N38">
        <f>F38*20</f>
        <v>794400</v>
      </c>
      <c r="O38">
        <f>J38-N38</f>
        <v>56300</v>
      </c>
    </row>
    <row r="39">
      <c r="A39">
        <v>30</v>
      </c>
      <c r="B39">
        <v>118</v>
      </c>
      <c r="C39" t="str">
        <v>13*12*2025</v>
      </c>
      <c r="D39" t="str">
        <v>KA-14-C-0458</v>
      </c>
      <c r="E39">
        <v>580</v>
      </c>
      <c r="F39">
        <v>33670</v>
      </c>
      <c r="H39">
        <v>22</v>
      </c>
      <c r="I39">
        <v>40000</v>
      </c>
      <c r="J39">
        <f>F39*H39-I39</f>
        <v>700740</v>
      </c>
      <c r="K39" t="str">
        <v xml:space="preserve">SWATHI </v>
      </c>
      <c r="L39" t="str">
        <v>2 DAYS</v>
      </c>
      <c r="M39">
        <f>F39/E39</f>
        <v>58.05172413793103</v>
      </c>
      <c r="N39">
        <f>F39*20</f>
        <v>673400</v>
      </c>
      <c r="O39">
        <f>J39-N39</f>
        <v>27340</v>
      </c>
    </row>
    <row r="40">
      <c r="A40">
        <v>31</v>
      </c>
      <c r="B40">
        <v>120</v>
      </c>
      <c r="C40" t="str">
        <v>17*12*2025</v>
      </c>
      <c r="D40" t="str">
        <v>AP-26-TF-5640</v>
      </c>
      <c r="E40">
        <v>470</v>
      </c>
      <c r="F40">
        <v>26940</v>
      </c>
      <c r="H40">
        <v>22</v>
      </c>
      <c r="I40">
        <v>30000</v>
      </c>
      <c r="J40">
        <f>F40*H40-I40</f>
        <v>562680</v>
      </c>
      <c r="K40" t="str">
        <v xml:space="preserve">Tufan </v>
      </c>
      <c r="L40" t="str">
        <v>30 Days</v>
      </c>
      <c r="M40">
        <f>F40/E40</f>
        <v>57.319148936170215</v>
      </c>
      <c r="N40">
        <f>F40*20</f>
        <v>538800</v>
      </c>
      <c r="O40">
        <f>J40-N40</f>
        <v>23880</v>
      </c>
    </row>
    <row r="41">
      <c r="A41">
        <v>32</v>
      </c>
      <c r="B41">
        <v>121</v>
      </c>
      <c r="C41" t="str">
        <v>18*12*2025</v>
      </c>
      <c r="D41" t="str">
        <v>KA-14-C-0458</v>
      </c>
      <c r="E41">
        <v>691</v>
      </c>
      <c r="F41">
        <v>40640</v>
      </c>
      <c r="H41">
        <v>22</v>
      </c>
      <c r="I41">
        <v>44000</v>
      </c>
      <c r="J41">
        <f>F41*H41-I41</f>
        <v>850080</v>
      </c>
      <c r="K41" t="str">
        <v xml:space="preserve">Tufan </v>
      </c>
      <c r="L41" t="str">
        <v>30 Days</v>
      </c>
      <c r="M41">
        <f>F41/E41</f>
        <v>58.813314037626625</v>
      </c>
      <c r="N41">
        <f>F41*20</f>
        <v>812800</v>
      </c>
      <c r="O41">
        <f>J41-N41</f>
        <v>37280</v>
      </c>
    </row>
    <row r="42">
      <c r="A42">
        <v>33</v>
      </c>
      <c r="B42">
        <v>122</v>
      </c>
      <c r="C42" t="str">
        <v>23*12*2025</v>
      </c>
      <c r="D42" t="str">
        <v>AP-26-TF-5640</v>
      </c>
      <c r="E42">
        <v>491</v>
      </c>
      <c r="F42">
        <v>28100</v>
      </c>
      <c r="H42">
        <v>21.3</v>
      </c>
      <c r="I42">
        <v>30000</v>
      </c>
      <c r="J42">
        <f>F42*H42-I42</f>
        <v>568530</v>
      </c>
      <c r="K42" t="str">
        <v xml:space="preserve">Tufan </v>
      </c>
      <c r="L42" t="str">
        <v>30 Days</v>
      </c>
      <c r="M42">
        <f>F42/E42</f>
        <v>57.23014256619145</v>
      </c>
      <c r="N42">
        <f>F42*19</f>
        <v>533900</v>
      </c>
      <c r="O42">
        <f>J42-N42</f>
        <v>34630</v>
      </c>
    </row>
    <row r="43">
      <c r="A43">
        <v>34</v>
      </c>
      <c r="B43">
        <v>123</v>
      </c>
      <c r="C43" t="str">
        <v>26*12*2025</v>
      </c>
      <c r="D43" t="str">
        <v>KA-20-AB-6822</v>
      </c>
      <c r="E43">
        <v>706</v>
      </c>
      <c r="F43">
        <v>40960</v>
      </c>
      <c r="H43">
        <v>21.3</v>
      </c>
      <c r="I43">
        <v>43000</v>
      </c>
      <c r="J43">
        <f>F43*H43-I43</f>
        <v>829448</v>
      </c>
      <c r="K43" t="str">
        <v xml:space="preserve">Tufan </v>
      </c>
      <c r="L43" t="str">
        <v>30 Days</v>
      </c>
      <c r="M43">
        <f>F43/E43</f>
        <v>58.01699716713881</v>
      </c>
      <c r="N43">
        <f>F43*19</f>
        <v>778240</v>
      </c>
      <c r="O43">
        <f>J43-N43</f>
        <v>51208</v>
      </c>
    </row>
    <row r="44">
      <c r="A44">
        <v>35</v>
      </c>
      <c r="B44">
        <v>124</v>
      </c>
      <c r="C44" t="str">
        <v>28*12*2025</v>
      </c>
      <c r="D44" t="str">
        <v>KA-20-AB-6822</v>
      </c>
      <c r="E44">
        <v>705</v>
      </c>
      <c r="F44">
        <v>41300</v>
      </c>
      <c r="H44">
        <v>21.3</v>
      </c>
      <c r="I44">
        <v>46000</v>
      </c>
      <c r="J44">
        <f>F44*H44-I44</f>
        <v>833690</v>
      </c>
      <c r="K44" t="str">
        <v xml:space="preserve">Tufan </v>
      </c>
      <c r="L44" t="str">
        <v>30 Days</v>
      </c>
      <c r="M44">
        <f>F44/E44</f>
        <v>58.58156028368794</v>
      </c>
      <c r="N44">
        <f>F44*18.5</f>
        <v>764050</v>
      </c>
      <c r="O44">
        <f>J44-N44</f>
        <v>69640</v>
      </c>
    </row>
    <row r="45">
      <c r="A45">
        <v>36</v>
      </c>
      <c r="B45">
        <v>125</v>
      </c>
      <c r="C45" t="str">
        <v>30*12*2025</v>
      </c>
      <c r="D45" t="str">
        <v>KA*55*A*5029</v>
      </c>
      <c r="E45">
        <v>550</v>
      </c>
      <c r="F45">
        <v>32120</v>
      </c>
      <c r="H45">
        <v>20.4</v>
      </c>
      <c r="I45">
        <v>27000</v>
      </c>
      <c r="J45">
        <f>F45*H45-I45</f>
        <v>628248</v>
      </c>
      <c r="K45" t="str">
        <v>SUN STAR</v>
      </c>
      <c r="L45" t="str">
        <v>15 DAYS</v>
      </c>
      <c r="M45">
        <f>F45/E45</f>
        <v>58.4</v>
      </c>
      <c r="N45">
        <f>F45*18.5</f>
        <v>594220</v>
      </c>
      <c r="O45">
        <f>J45-N45</f>
        <v>34028</v>
      </c>
    </row>
    <row r="46">
      <c r="A46">
        <v>37</v>
      </c>
      <c r="B46">
        <v>126</v>
      </c>
      <c r="C46" t="str">
        <v>30*12*2025</v>
      </c>
      <c r="D46" t="str">
        <v>KA*1*B*59211</v>
      </c>
      <c r="E46">
        <v>443</v>
      </c>
      <c r="F46">
        <v>25960</v>
      </c>
      <c r="H46">
        <v>20.4</v>
      </c>
      <c r="I46">
        <v>25960</v>
      </c>
      <c r="J46">
        <f>F46*H46-I46</f>
        <v>503624</v>
      </c>
      <c r="K46" t="str">
        <v>SUN STAR</v>
      </c>
      <c r="L46" t="str">
        <v>15 DAYS</v>
      </c>
      <c r="M46">
        <f>F46/E46</f>
        <v>58.60045146726862</v>
      </c>
      <c r="N46">
        <f>F46*18.5</f>
        <v>480260</v>
      </c>
      <c r="O46">
        <f>J46-N46</f>
        <v>23364</v>
      </c>
    </row>
    <row r="47">
      <c r="A47">
        <v>38</v>
      </c>
      <c r="B47" t="str">
        <v>SMBT\ 14</v>
      </c>
      <c r="C47" t="str">
        <v>1*1*2026</v>
      </c>
      <c r="D47" t="str">
        <v>KA-20-AB-6822</v>
      </c>
      <c r="E47">
        <v>730</v>
      </c>
      <c r="F47">
        <v>41510</v>
      </c>
      <c r="H47">
        <v>21.3</v>
      </c>
      <c r="I47">
        <v>45000</v>
      </c>
      <c r="J47">
        <f>F47*H47-I47</f>
        <v>839163</v>
      </c>
      <c r="K47" t="str">
        <v xml:space="preserve">Tufan </v>
      </c>
      <c r="L47" t="str">
        <v>30 Days</v>
      </c>
      <c r="M47">
        <f>F47/E47</f>
        <v>56.863013698630134</v>
      </c>
      <c r="N47">
        <f>F47*18.5</f>
        <v>767935</v>
      </c>
      <c r="O47">
        <f>J47-N47</f>
        <v>71228</v>
      </c>
    </row>
    <row r="48">
      <c r="A48">
        <v>39</v>
      </c>
      <c r="B48">
        <v>13</v>
      </c>
      <c r="C48" t="str">
        <v>07*01*2026</v>
      </c>
      <c r="D48" t="str">
        <v>KA-16-C-2098</v>
      </c>
      <c r="E48">
        <v>580</v>
      </c>
      <c r="F48">
        <v>33540</v>
      </c>
      <c r="H48">
        <v>20.5</v>
      </c>
      <c r="I48">
        <v>32000</v>
      </c>
      <c r="J48">
        <f>F48*H48-I48</f>
        <v>655570</v>
      </c>
      <c r="K48" t="str">
        <v>SANTHOSH</v>
      </c>
      <c r="L48" t="str">
        <v>30 Days</v>
      </c>
      <c r="M48">
        <f>F48/E48</f>
        <v>57.827586206896555</v>
      </c>
      <c r="N48">
        <f>F48*18.5</f>
        <v>620490</v>
      </c>
      <c r="O48">
        <f>J48-N48</f>
        <v>35080</v>
      </c>
    </row>
    <row r="49">
      <c r="A49">
        <v>40</v>
      </c>
      <c r="B49">
        <v>15</v>
      </c>
      <c r="C49" t="str">
        <v>08*01*2026</v>
      </c>
      <c r="D49" t="str">
        <v>KA-40-B-4555</v>
      </c>
      <c r="E49">
        <v>620</v>
      </c>
      <c r="F49">
        <v>36400</v>
      </c>
      <c r="H49">
        <v>20.5</v>
      </c>
      <c r="I49">
        <v>35000</v>
      </c>
      <c r="J49">
        <f>F49*H49-I49</f>
        <v>711200</v>
      </c>
      <c r="K49" t="str">
        <v>SANTHOSH</v>
      </c>
      <c r="L49" t="str">
        <v>30 Days</v>
      </c>
      <c r="M49">
        <f>F49/E49</f>
        <v>58.70967741935484</v>
      </c>
      <c r="N49">
        <f>F49*18.5</f>
        <v>673400</v>
      </c>
      <c r="O49">
        <f>J49-N49</f>
        <v>37800</v>
      </c>
    </row>
    <row r="50">
      <c r="A50">
        <v>41</v>
      </c>
      <c r="B50">
        <v>16</v>
      </c>
      <c r="C50" t="str">
        <v>21*01*2026</v>
      </c>
      <c r="D50" t="str">
        <v>KA-23-B-5344</v>
      </c>
      <c r="E50">
        <v>740</v>
      </c>
      <c r="F50">
        <v>42190</v>
      </c>
      <c r="H50">
        <v>20.9</v>
      </c>
      <c r="I50">
        <v>40000</v>
      </c>
      <c r="J50">
        <f>F50*H50-I50</f>
        <v>841770.9999999999</v>
      </c>
      <c r="K50" t="str">
        <v xml:space="preserve">SANJANA </v>
      </c>
      <c r="L50" t="str">
        <v>30 Days</v>
      </c>
      <c r="M50">
        <f>F50/E50</f>
        <v>57.013513513513516</v>
      </c>
      <c r="N50">
        <f>F50*18.5</f>
        <v>780515</v>
      </c>
      <c r="O50">
        <f>J50-N50</f>
        <v>61255.99999999988</v>
      </c>
      <c r="P50">
        <v>400000</v>
      </c>
    </row>
    <row r="51">
      <c r="A51">
        <v>42</v>
      </c>
      <c r="B51">
        <v>17</v>
      </c>
      <c r="C51" t="str">
        <v>22*01*2026</v>
      </c>
      <c r="D51" t="str">
        <v>KA-01-AE-0294</v>
      </c>
      <c r="E51">
        <v>534</v>
      </c>
      <c r="F51">
        <v>30870</v>
      </c>
      <c r="H51">
        <v>20.9</v>
      </c>
      <c r="I51">
        <v>30000</v>
      </c>
      <c r="J51">
        <f>F51*H51-I51</f>
        <v>615183</v>
      </c>
      <c r="K51" t="str">
        <v xml:space="preserve">SANJANA </v>
      </c>
      <c r="L51" t="str">
        <v>30 Days</v>
      </c>
      <c r="M51">
        <f>F51/E51</f>
        <v>57.80898876404494</v>
      </c>
      <c r="N51">
        <f>F51*18.5</f>
        <v>571095</v>
      </c>
      <c r="O51">
        <f>J51-N51</f>
        <v>44088</v>
      </c>
      <c r="P51">
        <f>F51*H51</f>
        <v>645183</v>
      </c>
    </row>
    <row r="52">
      <c r="A52">
        <v>43</v>
      </c>
      <c r="B52">
        <v>18</v>
      </c>
      <c r="C52" t="str">
        <v>23*01*2026</v>
      </c>
      <c r="D52" t="str">
        <v>KA-21-B-2352</v>
      </c>
      <c r="E52">
        <v>460</v>
      </c>
      <c r="F52">
        <v>26260</v>
      </c>
      <c r="H52">
        <v>20.8</v>
      </c>
      <c r="I52">
        <v>28000</v>
      </c>
      <c r="J52">
        <f>F52*H52-I52</f>
        <v>518208</v>
      </c>
      <c r="K52" t="str">
        <v xml:space="preserve">Tufan </v>
      </c>
      <c r="L52" t="str">
        <v>30 Days</v>
      </c>
      <c r="M52">
        <f>F52/E52</f>
        <v>57.08695652173913</v>
      </c>
      <c r="N52">
        <f>F52*18.5</f>
        <v>485810</v>
      </c>
      <c r="O52">
        <f>J52-N52</f>
        <v>32398</v>
      </c>
    </row>
    <row r="53">
      <c r="A53">
        <v>44</v>
      </c>
      <c r="B53">
        <v>19</v>
      </c>
      <c r="C53" t="str">
        <v>23*01*2026</v>
      </c>
      <c r="D53" t="str">
        <v>KA-21-B-2352</v>
      </c>
      <c r="E53">
        <v>680</v>
      </c>
      <c r="F53">
        <v>39050</v>
      </c>
      <c r="H53">
        <v>20.8</v>
      </c>
      <c r="I53">
        <v>44000</v>
      </c>
      <c r="J53">
        <f>F53*H53-I53</f>
        <v>768240</v>
      </c>
      <c r="K53" t="str">
        <v xml:space="preserve">Tufan </v>
      </c>
      <c r="L53" t="str">
        <v>30 Days</v>
      </c>
      <c r="M53">
        <f>F53/E53</f>
        <v>57.4264705882353</v>
      </c>
      <c r="N53">
        <f>F53*18.5</f>
        <v>722425</v>
      </c>
      <c r="O53">
        <f>J53-N53</f>
        <v>45815</v>
      </c>
      <c r="P53">
        <f>F53*H53</f>
        <v>812240</v>
      </c>
    </row>
    <row r="54">
      <c r="A54">
        <v>45</v>
      </c>
      <c r="B54">
        <v>20</v>
      </c>
      <c r="C54" t="str">
        <v>25*01*2026</v>
      </c>
      <c r="D54" t="str">
        <v>KA -23-B-5344</v>
      </c>
      <c r="E54">
        <v>620</v>
      </c>
      <c r="F54">
        <v>36280</v>
      </c>
      <c r="H54">
        <v>20.8</v>
      </c>
      <c r="I54">
        <v>41000</v>
      </c>
      <c r="J54">
        <f>F54*H54-I54</f>
        <v>713624</v>
      </c>
      <c r="K54" t="str">
        <v xml:space="preserve">Tufan </v>
      </c>
      <c r="L54" t="str">
        <v>30 Days</v>
      </c>
      <c r="M54">
        <f>F54/E54</f>
        <v>58.516129032258064</v>
      </c>
      <c r="N54">
        <f>F54*18.5</f>
        <v>671180</v>
      </c>
      <c r="O54">
        <f>J54-N54</f>
        <v>42444</v>
      </c>
      <c r="P54">
        <f>F54*H54</f>
        <v>754624</v>
      </c>
    </row>
    <row r="55">
      <c r="A55">
        <v>46</v>
      </c>
      <c r="B55">
        <v>21</v>
      </c>
      <c r="C55" t="str">
        <v>26*01*2026</v>
      </c>
      <c r="D55" t="str">
        <v>KA-43-8844</v>
      </c>
      <c r="E55">
        <v>620</v>
      </c>
      <c r="F55">
        <v>35460</v>
      </c>
      <c r="H55">
        <v>20.8</v>
      </c>
      <c r="I55">
        <v>43000</v>
      </c>
      <c r="J55">
        <f>F55*H55-I55</f>
        <v>694568</v>
      </c>
      <c r="K55" t="str">
        <v>VISNU</v>
      </c>
      <c r="L55" t="str">
        <v>20 DAYS</v>
      </c>
      <c r="M55">
        <f>F55/E55</f>
        <v>57.193548387096776</v>
      </c>
      <c r="N55">
        <f>F55*18.5</f>
        <v>656010</v>
      </c>
      <c r="O55">
        <f>J55-N55</f>
        <v>38558</v>
      </c>
    </row>
    <row r="56">
      <c r="A56">
        <v>47</v>
      </c>
      <c r="B56">
        <v>22</v>
      </c>
      <c r="C56" t="str">
        <v>26*01*2026</v>
      </c>
      <c r="D56" t="str">
        <v>KA-16-C -4854</v>
      </c>
      <c r="E56">
        <v>560</v>
      </c>
      <c r="F56">
        <v>32510</v>
      </c>
      <c r="H56">
        <v>20.8</v>
      </c>
      <c r="I56">
        <v>34000</v>
      </c>
      <c r="J56">
        <f>F56*H56-I56</f>
        <v>642208</v>
      </c>
      <c r="K56" t="str">
        <v xml:space="preserve">THUFAN </v>
      </c>
      <c r="L56" t="str">
        <v>30 DAYS</v>
      </c>
      <c r="M56">
        <f>F56/E56</f>
        <v>58.05357142857143</v>
      </c>
      <c r="N56">
        <f>F56*18.5</f>
        <v>601435</v>
      </c>
      <c r="O56">
        <f>J56-N56</f>
        <v>40773</v>
      </c>
      <c r="P56">
        <f>F56*H56</f>
        <v>676208</v>
      </c>
    </row>
    <row r="57">
      <c r="A57">
        <v>48</v>
      </c>
      <c r="B57">
        <v>23</v>
      </c>
      <c r="C57" t="str">
        <v>29*01*2026</v>
      </c>
      <c r="D57" t="str">
        <v>KA-02 D-5478</v>
      </c>
      <c r="E57">
        <v>448</v>
      </c>
      <c r="F57">
        <v>26030</v>
      </c>
      <c r="H57">
        <v>20.15</v>
      </c>
      <c r="I57">
        <v>27000</v>
      </c>
      <c r="J57">
        <f>F57*H57-I57</f>
        <v>497504.5</v>
      </c>
      <c r="K57" t="str">
        <v>SUN STAR</v>
      </c>
      <c r="L57" t="str">
        <v>15 DAYS</v>
      </c>
      <c r="M57">
        <f>F57/E57</f>
        <v>58.10267857142857</v>
      </c>
      <c r="N57">
        <f>F57*18.3</f>
        <v>476349</v>
      </c>
      <c r="O57">
        <f>J57-N57</f>
        <v>21155.5</v>
      </c>
    </row>
    <row r="58">
      <c r="A58">
        <v>49</v>
      </c>
      <c r="B58">
        <v>24</v>
      </c>
      <c r="C58" t="str">
        <v>29*01*2026</v>
      </c>
      <c r="D58" t="str">
        <v>KA-27-A-0664</v>
      </c>
      <c r="E58">
        <v>438</v>
      </c>
      <c r="F58">
        <v>25230</v>
      </c>
      <c r="H58">
        <v>20.15</v>
      </c>
      <c r="I58">
        <v>27000</v>
      </c>
      <c r="J58">
        <f>F58*H58-I58</f>
        <v>481384.49999999994</v>
      </c>
      <c r="K58" t="str">
        <v>SUN STAR</v>
      </c>
      <c r="L58" t="str">
        <v>15 DAYS</v>
      </c>
      <c r="M58">
        <f>F58/E58</f>
        <v>57.602739726027394</v>
      </c>
      <c r="N58">
        <f>F58*18.3</f>
        <v>461709</v>
      </c>
      <c r="O58">
        <f>J58-N58</f>
        <v>19675.49999999994</v>
      </c>
    </row>
    <row r="59">
      <c r="A59">
        <v>50</v>
      </c>
      <c r="B59">
        <v>25</v>
      </c>
      <c r="C59" t="str">
        <v>29*01*2026</v>
      </c>
      <c r="D59" t="str">
        <v>KA-23-N-5344</v>
      </c>
      <c r="E59">
        <v>712</v>
      </c>
      <c r="F59">
        <v>41470</v>
      </c>
      <c r="H59">
        <v>20.8</v>
      </c>
      <c r="I59">
        <v>42000</v>
      </c>
      <c r="J59">
        <f>F59*H59-I59</f>
        <v>820576</v>
      </c>
      <c r="K59" t="str">
        <v>BANSHAKARI</v>
      </c>
      <c r="L59" t="str">
        <v>20 DAYS</v>
      </c>
      <c r="M59">
        <f>F59/E59</f>
        <v>58.24438202247191</v>
      </c>
      <c r="N59">
        <f>F59*18.3</f>
        <v>758901</v>
      </c>
      <c r="O59">
        <f>J59-N59</f>
        <v>61675</v>
      </c>
    </row>
    <row r="60">
      <c r="A60">
        <v>51</v>
      </c>
      <c r="B60">
        <v>26</v>
      </c>
      <c r="C60" t="str">
        <v>30*01*2026</v>
      </c>
      <c r="D60" t="str">
        <v>KA-05-AA-3139</v>
      </c>
      <c r="E60">
        <v>445</v>
      </c>
      <c r="F60">
        <v>25920</v>
      </c>
      <c r="H60">
        <v>20.15</v>
      </c>
      <c r="I60">
        <v>26000</v>
      </c>
      <c r="J60">
        <f>F60*H60-I60</f>
        <v>496287.99999999994</v>
      </c>
      <c r="K60" t="str">
        <v>SUN STAR</v>
      </c>
      <c r="L60" t="str">
        <v>15 DAYS</v>
      </c>
      <c r="M60">
        <f>F60/E60</f>
        <v>58.247191011235955</v>
      </c>
      <c r="N60">
        <f>F60*18.3</f>
        <v>474336</v>
      </c>
      <c r="O60">
        <f>J60-N60</f>
        <v>21951.99999999994</v>
      </c>
    </row>
    <row r="61">
      <c r="A61">
        <v>52</v>
      </c>
      <c r="B61">
        <v>27</v>
      </c>
      <c r="C61" t="str">
        <v>30*01*2026</v>
      </c>
      <c r="D61" t="str">
        <v>KA-01-AE-1021</v>
      </c>
      <c r="E61">
        <v>445</v>
      </c>
      <c r="F61">
        <v>26090</v>
      </c>
      <c r="H61">
        <v>20.15</v>
      </c>
      <c r="I61">
        <v>26000</v>
      </c>
      <c r="J61">
        <f>F61*H61-I61</f>
        <v>499713.5</v>
      </c>
      <c r="K61" t="str">
        <v>SUN STAR</v>
      </c>
      <c r="L61" t="str">
        <v>15 DAYS</v>
      </c>
      <c r="M61">
        <f>F61/E61</f>
        <v>58.62921348314607</v>
      </c>
      <c r="N61">
        <f>F61*18.3</f>
        <v>477447</v>
      </c>
      <c r="O61">
        <f>J61-N61</f>
        <v>22266.5</v>
      </c>
    </row>
    <row r="62">
      <c r="A62">
        <v>53</v>
      </c>
      <c r="B62">
        <v>28</v>
      </c>
      <c r="C62" t="str">
        <v>30*01*2026</v>
      </c>
      <c r="D62" t="str">
        <v>KA-48-A-3219</v>
      </c>
      <c r="E62">
        <v>602</v>
      </c>
      <c r="F62">
        <v>34610</v>
      </c>
      <c r="H62">
        <v>20.8</v>
      </c>
      <c r="I62">
        <v>35000</v>
      </c>
      <c r="J62">
        <f>F62*H62-I62</f>
        <v>684888</v>
      </c>
      <c r="K62" t="str">
        <v>BANSHAKARI</v>
      </c>
      <c r="L62" t="str">
        <v>20 DAYS</v>
      </c>
      <c r="M62">
        <f>F62/E62</f>
        <v>57.49169435215947</v>
      </c>
      <c r="N62">
        <f>F62*18.3</f>
        <v>633363</v>
      </c>
      <c r="O62">
        <f>J62-N62</f>
        <v>51525</v>
      </c>
    </row>
    <row r="63">
      <c r="A63">
        <v>54</v>
      </c>
      <c r="B63">
        <v>29</v>
      </c>
      <c r="C63" t="str">
        <v>01*02*2026</v>
      </c>
      <c r="D63" t="str">
        <v>KA-17-A-1353</v>
      </c>
      <c r="E63">
        <v>460</v>
      </c>
      <c r="F63">
        <v>26970</v>
      </c>
      <c r="H63">
        <v>20.15</v>
      </c>
      <c r="I63">
        <v>26000</v>
      </c>
      <c r="J63">
        <f>F63*H63-I63</f>
        <v>517445.5</v>
      </c>
      <c r="K63" t="str">
        <v>SUN STAR</v>
      </c>
      <c r="L63" t="str">
        <v>15 DAYS</v>
      </c>
      <c r="M63">
        <f>F63/E63</f>
        <v>58.630434782608695</v>
      </c>
      <c r="N63">
        <f>F63*18.3</f>
        <v>493551</v>
      </c>
      <c r="O63">
        <f>J63-N63</f>
        <v>23894.5</v>
      </c>
    </row>
    <row r="64">
      <c r="A64">
        <v>55</v>
      </c>
      <c r="B64">
        <v>30</v>
      </c>
      <c r="C64" t="str">
        <v>05*02*2026</v>
      </c>
      <c r="D64" t="str">
        <v>KA-27-A-9911</v>
      </c>
      <c r="E64">
        <v>375</v>
      </c>
      <c r="F64">
        <v>22260</v>
      </c>
      <c r="H64">
        <v>20.15</v>
      </c>
      <c r="I64">
        <v>22000</v>
      </c>
      <c r="J64">
        <f>F64*H64-I64</f>
        <v>426538.99999999994</v>
      </c>
      <c r="K64" t="str">
        <v>SUN STAR</v>
      </c>
      <c r="L64" t="str">
        <v>15 DAYS</v>
      </c>
      <c r="M64">
        <f>F64/E64</f>
        <v>59.36</v>
      </c>
      <c r="N64">
        <f>F64*18.3</f>
        <v>407358</v>
      </c>
      <c r="O64">
        <f>J64-N64</f>
        <v>19180.99999999994</v>
      </c>
    </row>
    <row r="65">
      <c r="A65">
        <v>56</v>
      </c>
      <c r="B65">
        <v>31</v>
      </c>
      <c r="C65" t="str">
        <v>05*02*2026</v>
      </c>
      <c r="D65" t="str">
        <v>KA -51-C-6363</v>
      </c>
      <c r="E65">
        <v>575</v>
      </c>
      <c r="F65">
        <v>33060</v>
      </c>
      <c r="H65">
        <v>20.5</v>
      </c>
      <c r="I65">
        <v>36000</v>
      </c>
      <c r="J65">
        <f>F65*H65-I65</f>
        <v>641730</v>
      </c>
      <c r="K65" t="str">
        <v>FRESH CHOICE</v>
      </c>
      <c r="L65" t="str">
        <v>30 Days</v>
      </c>
      <c r="M65">
        <f>F65/E65</f>
        <v>57.495652173913044</v>
      </c>
      <c r="N65">
        <f>F65*18.3</f>
        <v>604998</v>
      </c>
      <c r="O65">
        <f>J65-N65</f>
        <v>36732</v>
      </c>
      <c r="P65">
        <f>F65*H65</f>
        <v>677730</v>
      </c>
    </row>
    <row r="66">
      <c r="A66">
        <v>57</v>
      </c>
      <c r="B66">
        <v>32</v>
      </c>
      <c r="C66" t="str">
        <v>05*02*2026</v>
      </c>
      <c r="D66" t="str">
        <v>AP-02-TA-3537</v>
      </c>
      <c r="E66">
        <v>640</v>
      </c>
      <c r="F66">
        <v>37270</v>
      </c>
      <c r="H66">
        <v>20.5</v>
      </c>
      <c r="I66">
        <v>40000</v>
      </c>
      <c r="J66">
        <f>F66*H66-I66</f>
        <v>724035</v>
      </c>
      <c r="K66" t="str">
        <v>FRESH CHOICE</v>
      </c>
      <c r="L66" t="str">
        <v>30 Days</v>
      </c>
      <c r="M66">
        <f>F66/E66</f>
        <v>58.234375</v>
      </c>
      <c r="N66">
        <f>F66*18.3</f>
        <v>682041</v>
      </c>
      <c r="O66">
        <f>J66-N66</f>
        <v>41994</v>
      </c>
      <c r="P66">
        <f>F66*H66</f>
        <v>764035</v>
      </c>
    </row>
    <row r="67">
      <c r="A67">
        <v>58</v>
      </c>
      <c r="B67">
        <v>33</v>
      </c>
      <c r="C67" t="str">
        <v>06*02*2026</v>
      </c>
      <c r="D67" t="str">
        <v>KA-52-A6357</v>
      </c>
      <c r="E67">
        <v>640</v>
      </c>
      <c r="F67">
        <v>37320</v>
      </c>
      <c r="H67">
        <v>20.5</v>
      </c>
      <c r="I67">
        <v>41000</v>
      </c>
      <c r="J67">
        <f>F67*H67-I67</f>
        <v>724060</v>
      </c>
      <c r="K67" t="str">
        <v>FRESH CHOICE</v>
      </c>
      <c r="L67" t="str">
        <v>30 Days</v>
      </c>
      <c r="M67">
        <f>F68/E68</f>
        <v>57.11864406779661</v>
      </c>
      <c r="N67">
        <f>F67*18</f>
        <v>671760</v>
      </c>
      <c r="O67">
        <f>J67-N67</f>
        <v>52300</v>
      </c>
      <c r="P67">
        <f>F67*H67</f>
        <v>765060</v>
      </c>
    </row>
    <row r="68">
      <c r="A68">
        <v>59</v>
      </c>
      <c r="B68">
        <v>34</v>
      </c>
      <c r="C68" t="str">
        <v>07*02*2026</v>
      </c>
      <c r="D68" t="str">
        <v>KA-20-AB-6822</v>
      </c>
      <c r="E68">
        <v>708</v>
      </c>
      <c r="F68">
        <v>40440</v>
      </c>
      <c r="H68">
        <v>20</v>
      </c>
      <c r="I68">
        <v>45000</v>
      </c>
      <c r="J68">
        <f>F68*H68-I68</f>
        <v>763800</v>
      </c>
      <c r="K68" t="str">
        <v xml:space="preserve">Tufan </v>
      </c>
      <c r="L68" t="str">
        <v>30 Days</v>
      </c>
      <c r="M68">
        <f>F68/E68</f>
        <v>57.11864406779661</v>
      </c>
      <c r="N68">
        <f>F68*18</f>
        <v>727920</v>
      </c>
      <c r="O68">
        <f>J68-N68</f>
        <v>35880</v>
      </c>
      <c r="P68">
        <f>F68*H68</f>
        <v>808800</v>
      </c>
    </row>
    <row r="69">
      <c r="A69">
        <v>60</v>
      </c>
      <c r="B69">
        <v>35</v>
      </c>
      <c r="C69" t="str">
        <v>08*02*2026</v>
      </c>
      <c r="D69" t="str">
        <v>KA-51-AA-4734</v>
      </c>
      <c r="E69">
        <v>420</v>
      </c>
      <c r="F69">
        <v>24060</v>
      </c>
      <c r="H69">
        <v>20</v>
      </c>
      <c r="I69">
        <v>27000</v>
      </c>
      <c r="J69">
        <f>F69*H69-I69</f>
        <v>454200</v>
      </c>
      <c r="K69" t="str">
        <v xml:space="preserve">Tufan </v>
      </c>
      <c r="L69" t="str">
        <v>30 Days</v>
      </c>
      <c r="M69">
        <f>F69/E69</f>
        <v>57.285714285714285</v>
      </c>
      <c r="N69">
        <f>F69*18</f>
        <v>433080</v>
      </c>
      <c r="O69">
        <f>J69-N69</f>
        <v>21120</v>
      </c>
      <c r="P69">
        <f>F69*H69</f>
        <v>481200</v>
      </c>
    </row>
    <row r="70">
      <c r="A70">
        <v>61</v>
      </c>
      <c r="B70">
        <v>36</v>
      </c>
      <c r="C70" t="str">
        <v>11*02*2026</v>
      </c>
      <c r="D70" t="str">
        <v>KA-28-D-3099</v>
      </c>
      <c r="E70">
        <v>640</v>
      </c>
      <c r="F70">
        <v>36330</v>
      </c>
      <c r="H70">
        <v>19.4</v>
      </c>
      <c r="I70">
        <v>38000</v>
      </c>
      <c r="J70">
        <f>F70*H70-I70</f>
        <v>666802</v>
      </c>
      <c r="K70" t="str">
        <v>SM POUTTRI</v>
      </c>
      <c r="L70" t="str">
        <v>15 DAYS</v>
      </c>
      <c r="M70">
        <f>F70/E70</f>
        <v>56.765625</v>
      </c>
      <c r="N70">
        <f>F70*17.5</f>
        <v>635775</v>
      </c>
      <c r="O70">
        <f>J70-N70</f>
        <v>31027</v>
      </c>
    </row>
    <row r="71">
      <c r="A71">
        <v>62</v>
      </c>
      <c r="B71">
        <v>37</v>
      </c>
      <c r="C71" t="str">
        <v>11*02*2026</v>
      </c>
      <c r="D71" t="str">
        <v>KA-16-C-2380</v>
      </c>
      <c r="E71">
        <v>530</v>
      </c>
      <c r="F71">
        <v>29960</v>
      </c>
      <c r="H71">
        <v>19.7</v>
      </c>
      <c r="I71">
        <v>30000</v>
      </c>
      <c r="J71">
        <f>F71*H71-I71</f>
        <v>560212</v>
      </c>
      <c r="K71" t="str">
        <v>JANANI</v>
      </c>
      <c r="L71" t="str">
        <v>15 DAYS</v>
      </c>
      <c r="M71">
        <f>F71/E71</f>
        <v>56.528301886792455</v>
      </c>
      <c r="N71">
        <f>F71*17.5</f>
        <v>524300</v>
      </c>
      <c r="O71">
        <f>J71-N71</f>
        <v>35912</v>
      </c>
      <c r="P71">
        <f>F71*H71</f>
        <v>590212</v>
      </c>
    </row>
    <row r="72">
      <c r="A72">
        <v>63</v>
      </c>
      <c r="B72">
        <v>38</v>
      </c>
      <c r="C72" t="str">
        <v>11*02*2026</v>
      </c>
      <c r="D72" t="str">
        <v>KA-16-C-2331</v>
      </c>
      <c r="E72">
        <v>645</v>
      </c>
      <c r="F72">
        <v>37190</v>
      </c>
      <c r="H72">
        <v>19.8</v>
      </c>
      <c r="I72">
        <v>41000</v>
      </c>
      <c r="J72">
        <f>F72*H72-I72</f>
        <v>695362</v>
      </c>
      <c r="K72" t="str">
        <v xml:space="preserve">SWATHI </v>
      </c>
      <c r="L72" t="str">
        <v>15DAYS</v>
      </c>
      <c r="M72">
        <f>F72/E72</f>
        <v>57.65891472868217</v>
      </c>
      <c r="N72">
        <f>F72*17.5</f>
        <v>650825</v>
      </c>
      <c r="O72">
        <f>J72-N72</f>
        <v>44537</v>
      </c>
      <c r="P72">
        <f>F72*H72</f>
        <v>736362</v>
      </c>
    </row>
    <row r="73">
      <c r="A73">
        <v>64</v>
      </c>
      <c r="B73">
        <v>39</v>
      </c>
      <c r="C73" t="str">
        <v>12*02*2026</v>
      </c>
      <c r="D73" t="str">
        <v>KA-40-B-4303</v>
      </c>
      <c r="E73">
        <v>732</v>
      </c>
      <c r="F73">
        <v>41620</v>
      </c>
      <c r="H73">
        <v>19.7</v>
      </c>
      <c r="I73">
        <v>42000</v>
      </c>
      <c r="J73">
        <f>F73*H73-I73</f>
        <v>777914</v>
      </c>
      <c r="K73" t="str">
        <v>JANANI</v>
      </c>
      <c r="L73" t="str">
        <v>15 DAYS</v>
      </c>
      <c r="M73">
        <f>F74/E74</f>
        <v>57.114754098360656</v>
      </c>
      <c r="N73">
        <f>F73*17.5</f>
        <v>728350</v>
      </c>
      <c r="O73">
        <f>J73-N73</f>
        <v>49564</v>
      </c>
      <c r="P73">
        <f>F73*H73</f>
        <v>819914</v>
      </c>
    </row>
    <row r="74">
      <c r="A74">
        <v>65</v>
      </c>
      <c r="B74">
        <v>40</v>
      </c>
      <c r="C74" t="str">
        <v>12 *02*2026</v>
      </c>
      <c r="D74" t="str">
        <v>KA-07-A-6927</v>
      </c>
      <c r="E74">
        <v>610</v>
      </c>
      <c r="F74">
        <v>34840</v>
      </c>
      <c r="H74">
        <v>19.7</v>
      </c>
      <c r="I74">
        <v>36000</v>
      </c>
      <c r="J74">
        <f>F74*H74-I74</f>
        <v>650348</v>
      </c>
      <c r="K74" t="str">
        <v>B&amp;M FARM</v>
      </c>
      <c r="L74" t="str">
        <v>15 DAYS</v>
      </c>
      <c r="M74">
        <f>F74/E74</f>
        <v>57.114754098360656</v>
      </c>
      <c r="N74">
        <f>F74*17.5</f>
        <v>609700</v>
      </c>
      <c r="O74">
        <f>J74-N74</f>
        <v>40648</v>
      </c>
    </row>
    <row r="75">
      <c r="A75">
        <v>66</v>
      </c>
      <c r="B75">
        <v>41</v>
      </c>
      <c r="C75" t="str">
        <v>14*02*2026</v>
      </c>
      <c r="D75" t="str">
        <v>KA-06-AC-7124</v>
      </c>
      <c r="E75">
        <v>615</v>
      </c>
      <c r="F75">
        <v>35700</v>
      </c>
      <c r="H75">
        <v>19.8</v>
      </c>
      <c r="I75">
        <v>35000</v>
      </c>
      <c r="J75">
        <f>F75*H75-I75</f>
        <v>671860</v>
      </c>
      <c r="K75" t="str">
        <v>SANTHOSH</v>
      </c>
      <c r="L75" t="str">
        <v>30 Days</v>
      </c>
      <c r="M75">
        <f>F75/E75</f>
        <v>58.048780487804876</v>
      </c>
      <c r="N75">
        <f>F75*17.5</f>
        <v>624750</v>
      </c>
      <c r="O75">
        <f>J75-N75</f>
        <v>47110</v>
      </c>
      <c r="P75">
        <f>F75*H75</f>
        <v>706860</v>
      </c>
    </row>
    <row r="76">
      <c r="A76">
        <v>67</v>
      </c>
      <c r="B76">
        <v>42</v>
      </c>
      <c r="C76" t="str">
        <v>14*02*2026</v>
      </c>
      <c r="D76" t="str">
        <v>KA-01-AE-9622</v>
      </c>
      <c r="E76">
        <v>515</v>
      </c>
      <c r="F76">
        <v>29350</v>
      </c>
      <c r="H76">
        <v>19.8</v>
      </c>
      <c r="I76">
        <v>28000</v>
      </c>
      <c r="J76">
        <f>F76*H76-I76</f>
        <v>553130</v>
      </c>
      <c r="K76" t="str">
        <v>SANTHOSH</v>
      </c>
      <c r="L76" t="str">
        <v>30 Days</v>
      </c>
      <c r="M76">
        <f>F76/E76</f>
        <v>56.99029126213592</v>
      </c>
      <c r="N76">
        <f>F76*17.2</f>
        <v>504820</v>
      </c>
      <c r="O76">
        <f>J76-N76</f>
        <v>48310</v>
      </c>
      <c r="P76">
        <f>F76*H76</f>
        <v>581130</v>
      </c>
    </row>
    <row r="77">
      <c r="A77">
        <v>68</v>
      </c>
      <c r="B77">
        <v>43</v>
      </c>
      <c r="C77" t="str">
        <v>17*02*2026</v>
      </c>
      <c r="D77" t="str">
        <v>KA-20-AB-6822</v>
      </c>
      <c r="E77">
        <v>710</v>
      </c>
      <c r="F77">
        <v>41800</v>
      </c>
      <c r="H77">
        <v>19.3</v>
      </c>
      <c r="I77">
        <v>46000</v>
      </c>
      <c r="J77">
        <f>F77*H77-I77</f>
        <v>760740</v>
      </c>
      <c r="K77" t="str">
        <v xml:space="preserve">Tufan </v>
      </c>
      <c r="L77" t="str">
        <v>30 Days</v>
      </c>
      <c r="M77">
        <f>F77/E77</f>
        <v>58.87323943661972</v>
      </c>
      <c r="N77">
        <f>F77*17.2</f>
        <v>718960</v>
      </c>
      <c r="O77">
        <f>J77-N77</f>
        <v>41780</v>
      </c>
      <c r="P77">
        <f>F77*H77</f>
        <v>806740</v>
      </c>
    </row>
    <row r="78">
      <c r="A78">
        <v>69</v>
      </c>
      <c r="B78">
        <v>44</v>
      </c>
      <c r="C78" t="str">
        <v>18*02*2026</v>
      </c>
      <c r="D78" t="str">
        <v>KA-51-AA-4734</v>
      </c>
      <c r="E78">
        <v>420</v>
      </c>
      <c r="F78">
        <v>24600</v>
      </c>
      <c r="H78">
        <v>19.3</v>
      </c>
      <c r="I78">
        <v>28000</v>
      </c>
      <c r="J78">
        <f>F78*H78-I78</f>
        <v>446780</v>
      </c>
      <c r="K78" t="str">
        <v xml:space="preserve">Tufan </v>
      </c>
      <c r="L78" t="str">
        <v>30 Days</v>
      </c>
      <c r="M78">
        <f>F78/E78</f>
        <v>58.57142857142857</v>
      </c>
      <c r="N78">
        <f>F78*17.2</f>
        <v>423120</v>
      </c>
      <c r="O78">
        <f>J78-N78</f>
        <v>23660</v>
      </c>
      <c r="P78">
        <f>F78*H78</f>
        <v>474780</v>
      </c>
    </row>
    <row r="79">
      <c r="A79">
        <v>70</v>
      </c>
      <c r="B79">
        <v>45</v>
      </c>
      <c r="C79" t="str">
        <v>20*02*2026</v>
      </c>
      <c r="D79" t="str">
        <v>KA-01-AT-0901</v>
      </c>
      <c r="E79">
        <v>680</v>
      </c>
      <c r="F79">
        <v>38000</v>
      </c>
      <c r="H79">
        <v>19.3</v>
      </c>
      <c r="I79">
        <v>43000</v>
      </c>
      <c r="J79">
        <f>F79*H79-I79</f>
        <v>690400</v>
      </c>
      <c r="K79" t="str">
        <v xml:space="preserve">Tufan </v>
      </c>
      <c r="L79" t="str">
        <v>30 Days</v>
      </c>
      <c r="M79">
        <f>F79/E79</f>
        <v>55.88235294117647</v>
      </c>
      <c r="N79">
        <f>F79*17.2</f>
        <v>653600</v>
      </c>
      <c r="O79">
        <f>J79-N79</f>
        <v>36800</v>
      </c>
      <c r="P79">
        <f>F79*H79</f>
        <v>733400</v>
      </c>
    </row>
    <row r="80">
      <c r="A80">
        <v>71</v>
      </c>
      <c r="B80">
        <v>46</v>
      </c>
      <c r="C80" t="str">
        <v>21*02*2026</v>
      </c>
      <c r="D80" t="str">
        <v>KA-16-AA-7448</v>
      </c>
      <c r="E80">
        <v>708</v>
      </c>
      <c r="F80">
        <v>40500</v>
      </c>
      <c r="H80">
        <v>19</v>
      </c>
      <c r="I80">
        <v>41000</v>
      </c>
      <c r="J80">
        <f>F80*H80-I80</f>
        <v>728500</v>
      </c>
      <c r="K80" t="str">
        <v xml:space="preserve">SANJANA </v>
      </c>
      <c r="L80" t="str">
        <v>15 DAYS</v>
      </c>
      <c r="M80">
        <f>F80/E80</f>
        <v>57.20338983050848</v>
      </c>
      <c r="N80">
        <f>F80*17.2</f>
        <v>696600</v>
      </c>
      <c r="O80">
        <f>J80-N80</f>
        <v>31900</v>
      </c>
      <c r="P80">
        <f>F80*H80</f>
        <v>769500</v>
      </c>
    </row>
    <row r="81">
      <c r="A81">
        <v>72</v>
      </c>
      <c r="B81">
        <v>47</v>
      </c>
      <c r="C81" t="str">
        <v>23*02*2026</v>
      </c>
      <c r="D81" t="str">
        <v>KA-01-AG-4701</v>
      </c>
      <c r="E81">
        <v>460</v>
      </c>
      <c r="F81">
        <v>27000</v>
      </c>
      <c r="H81">
        <v>18.8</v>
      </c>
      <c r="I81">
        <v>28000</v>
      </c>
      <c r="J81">
        <f>F81*H81-I81</f>
        <v>479600</v>
      </c>
      <c r="K81" t="str">
        <v>SANTHOSH</v>
      </c>
      <c r="L81" t="str">
        <v>30 Days</v>
      </c>
      <c r="M81">
        <f>F81/E81</f>
        <v>58.69565217391305</v>
      </c>
      <c r="N81">
        <f>F81*17.2</f>
        <v>464400</v>
      </c>
      <c r="O81">
        <f>J81-N81</f>
        <v>15200</v>
      </c>
      <c r="P81">
        <f>F81*H81</f>
        <v>507600</v>
      </c>
    </row>
    <row r="82">
      <c r="A82">
        <v>73</v>
      </c>
      <c r="B82">
        <v>48</v>
      </c>
      <c r="C82" t="str">
        <v>25*02*2026</v>
      </c>
      <c r="D82" t="str">
        <v>AP-39-X-5257</v>
      </c>
      <c r="E82">
        <v>660</v>
      </c>
      <c r="F82">
        <v>37500</v>
      </c>
      <c r="H82">
        <v>19.3</v>
      </c>
      <c r="I82">
        <v>41000</v>
      </c>
      <c r="J82">
        <f>F82*H82-I82</f>
        <v>682750</v>
      </c>
      <c r="K82" t="str">
        <v>VISNU</v>
      </c>
      <c r="L82" t="str">
        <v>20 DAYS</v>
      </c>
      <c r="M82">
        <f>F82/E82</f>
        <v>56.81818181818182</v>
      </c>
      <c r="N82">
        <f>F82*17.2</f>
        <v>645000</v>
      </c>
      <c r="O82">
        <f>J82-N82</f>
        <v>37750</v>
      </c>
      <c r="P82">
        <f>F82*H82</f>
        <v>723750</v>
      </c>
    </row>
    <row r="83">
      <c r="A83">
        <v>74</v>
      </c>
      <c r="B83">
        <v>49</v>
      </c>
      <c r="C83" t="str">
        <v>25*02*2026</v>
      </c>
      <c r="D83" t="str">
        <v>KA-43-B-3339</v>
      </c>
      <c r="E83">
        <v>620</v>
      </c>
      <c r="F83">
        <v>34700</v>
      </c>
      <c r="H83">
        <v>19.3</v>
      </c>
      <c r="I83">
        <v>40000</v>
      </c>
      <c r="J83">
        <f>F83*H83-I83</f>
        <v>629710</v>
      </c>
      <c r="K83" t="str">
        <v>VISNU</v>
      </c>
      <c r="L83" t="str">
        <v>20 DAYS</v>
      </c>
      <c r="M83">
        <f>F84/E84</f>
        <v>57.74647887323944</v>
      </c>
      <c r="N83">
        <f>F83*17.2</f>
        <v>596840</v>
      </c>
      <c r="O83">
        <f>J83-N83</f>
        <v>32870</v>
      </c>
      <c r="P83">
        <f>F83*H83</f>
        <v>669710</v>
      </c>
    </row>
    <row r="84">
      <c r="A84">
        <v>75</v>
      </c>
      <c r="B84">
        <v>50</v>
      </c>
      <c r="C84" t="str">
        <v>28*02*2026</v>
      </c>
      <c r="D84" t="str">
        <v>KA-20-AB-6822</v>
      </c>
      <c r="E84">
        <v>710</v>
      </c>
      <c r="F84">
        <v>41000</v>
      </c>
      <c r="H84">
        <v>19</v>
      </c>
      <c r="I84">
        <v>42000</v>
      </c>
      <c r="J84">
        <f>F84*H84-I84</f>
        <v>737000</v>
      </c>
      <c r="K84" t="str">
        <v>SANTHOSH</v>
      </c>
      <c r="L84" t="str">
        <v>30 Days</v>
      </c>
      <c r="M84">
        <f>F84/E84</f>
        <v>57.74647887323944</v>
      </c>
      <c r="N84">
        <f>F84*17.2</f>
        <v>705200</v>
      </c>
      <c r="O84">
        <f>J84-N84</f>
        <v>31800</v>
      </c>
      <c r="P84">
        <f>F84*H84</f>
        <v>779000</v>
      </c>
    </row>
    <row r="85">
      <c r="A85">
        <v>76</v>
      </c>
      <c r="B85">
        <v>51</v>
      </c>
      <c r="C85" t="str">
        <v>03*03*2026</v>
      </c>
      <c r="D85" t="str">
        <v>KA-01-AD-5865</v>
      </c>
      <c r="E85">
        <v>630</v>
      </c>
      <c r="F85">
        <v>36800</v>
      </c>
      <c r="H85">
        <v>19.5</v>
      </c>
      <c r="I85">
        <v>39000</v>
      </c>
      <c r="J85">
        <f>F85*H85-I85</f>
        <v>678600</v>
      </c>
      <c r="K85" t="str">
        <v>VISNU</v>
      </c>
      <c r="M85">
        <f>F85/E85</f>
        <v>58.41269841269841</v>
      </c>
      <c r="N85">
        <f>F85*17.2</f>
        <v>632960</v>
      </c>
      <c r="O85">
        <f>J85-N85</f>
        <v>45640</v>
      </c>
      <c r="P85">
        <f>F85*H85</f>
        <v>717600</v>
      </c>
    </row>
    <row r="86">
      <c r="A86">
        <v>77</v>
      </c>
      <c r="B86">
        <v>52</v>
      </c>
      <c r="C86" t="str">
        <v>03*03*2026</v>
      </c>
      <c r="D86" t="str">
        <v>KA-29-B-5399</v>
      </c>
      <c r="E86">
        <v>631</v>
      </c>
      <c r="F86">
        <v>35690</v>
      </c>
      <c r="H86">
        <v>19.5</v>
      </c>
      <c r="I86">
        <v>39000</v>
      </c>
      <c r="J86">
        <f>F86*H86-I86</f>
        <v>656955</v>
      </c>
      <c r="K86" t="str">
        <v>VISNU</v>
      </c>
      <c r="M86">
        <f>F86/E86</f>
        <v>56.56101426307448</v>
      </c>
      <c r="N86">
        <f>F86*17.2</f>
        <v>613868</v>
      </c>
      <c r="O86">
        <f>J86-N86</f>
        <v>43087</v>
      </c>
      <c r="P86">
        <f>F86*H86</f>
        <v>695955</v>
      </c>
    </row>
    <row r="87">
      <c r="A87">
        <v>78</v>
      </c>
      <c r="B87">
        <v>53</v>
      </c>
      <c r="J87">
        <f>F87*H87-I87</f>
        <v>0</v>
      </c>
      <c r="M87" t="e">
        <f>F87/E87</f>
        <v>#DIV/0!</v>
      </c>
      <c r="N87">
        <f>F87*17.2</f>
        <v>0</v>
      </c>
      <c r="O87">
        <f>J87-N87</f>
        <v>0</v>
      </c>
    </row>
    <row r="88">
      <c r="A88">
        <v>79</v>
      </c>
      <c r="J88">
        <f>F88*H88-I88</f>
        <v>0</v>
      </c>
      <c r="M88" t="e">
        <f>F88/E88</f>
        <v>#DIV/0!</v>
      </c>
      <c r="N88">
        <f>F88*17.2</f>
        <v>0</v>
      </c>
      <c r="O88">
        <f>J88-N88</f>
        <v>0</v>
      </c>
    </row>
    <row r="89">
      <c r="A89">
        <v>80</v>
      </c>
      <c r="J89">
        <f>F89*H89-I89</f>
        <v>0</v>
      </c>
      <c r="M89" t="e">
        <f>F89/E89</f>
        <v>#DIV/0!</v>
      </c>
      <c r="N89">
        <f>F89*17.2</f>
        <v>0</v>
      </c>
      <c r="O89">
        <f>J89-N89</f>
        <v>0</v>
      </c>
    </row>
    <row r="91">
      <c r="D91" t="str">
        <v>bill</v>
      </c>
      <c r="E91">
        <v>12</v>
      </c>
      <c r="F91">
        <v>710</v>
      </c>
      <c r="J91">
        <v>15000</v>
      </c>
    </row>
    <row r="92">
      <c r="D92" t="str">
        <v>local</v>
      </c>
      <c r="E92">
        <v>9</v>
      </c>
      <c r="F92">
        <v>420</v>
      </c>
    </row>
    <row r="93">
      <c r="E93">
        <f>SUM(E10:E92)</f>
        <v>44764</v>
      </c>
      <c r="F93">
        <f>SUM(F10:F92)</f>
        <v>2583890</v>
      </c>
      <c r="I93">
        <f>SUM(I10:I92)</f>
        <v>2708860</v>
      </c>
      <c r="J93">
        <f>SUM(J10:J92)</f>
        <v>51090125</v>
      </c>
      <c r="N93">
        <f>SUM(N10:N92)</f>
        <v>48047285.5</v>
      </c>
      <c r="O93">
        <f>SUM(O10:O92)</f>
        <v>3027839.5</v>
      </c>
      <c r="P93">
        <f>SUM(P50:P92)</f>
        <v>17097593</v>
      </c>
    </row>
    <row r="94">
      <c r="D94" t="str">
        <v>30*11*2025</v>
      </c>
      <c r="E94">
        <v>5</v>
      </c>
      <c r="F94">
        <v>6000</v>
      </c>
    </row>
    <row r="96">
      <c r="J96">
        <v>0</v>
      </c>
    </row>
  </sheetData>
  <pageMargins left="0.7" right="0.7" top="0.75" bottom="0.75" header="0.3" footer="0.3"/>
  <ignoredErrors>
    <ignoredError numberStoredAsText="1" sqref="A7:P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9:P45"/>
  <sheetViews>
    <sheetView workbookViewId="0" rightToLeft="0"/>
  </sheetViews>
  <sheetData>
    <row r="9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H9">
        <v>1</v>
      </c>
      <c r="I9">
        <v>2</v>
      </c>
      <c r="J9">
        <v>2</v>
      </c>
      <c r="K9">
        <v>3</v>
      </c>
      <c r="L9">
        <v>4</v>
      </c>
    </row>
    <row r="10">
      <c r="A10" t="str">
        <v xml:space="preserve">SL NO </v>
      </c>
      <c r="B10" t="str">
        <v>DATE</v>
      </c>
      <c r="C10" t="str">
        <v>PARTY</v>
      </c>
      <c r="D10" t="str">
        <v>BAGS</v>
      </c>
      <c r="E10" t="str">
        <v>RATE</v>
      </c>
      <c r="F10" t="str">
        <v>AMOUNT</v>
      </c>
      <c r="H10" t="str">
        <v xml:space="preserve">SL NO </v>
      </c>
      <c r="I10" t="str">
        <v>DATE</v>
      </c>
      <c r="J10" t="str">
        <v>PARTY</v>
      </c>
      <c r="K10" t="str">
        <v>MODE</v>
      </c>
      <c r="L10" t="str">
        <v>AMOUNT</v>
      </c>
    </row>
    <row r="11">
      <c r="A11">
        <v>1</v>
      </c>
      <c r="B11" t="str">
        <v>01*10*2025</v>
      </c>
      <c r="C11" t="str">
        <v>IMRAN</v>
      </c>
      <c r="D11">
        <v>19950</v>
      </c>
      <c r="E11">
        <v>21.25</v>
      </c>
      <c r="F11">
        <f>D11*E11</f>
        <v>423937.5</v>
      </c>
      <c r="H11">
        <v>1</v>
      </c>
      <c r="I11" t="str">
        <v>01*10*2025</v>
      </c>
      <c r="J11" t="str">
        <v>MAHMES</v>
      </c>
      <c r="K11" t="str">
        <v>RTGS</v>
      </c>
      <c r="L11">
        <v>100000</v>
      </c>
    </row>
    <row r="12">
      <c r="A12">
        <v>2</v>
      </c>
      <c r="B12" t="str">
        <v>9*10*2025</v>
      </c>
      <c r="C12" t="str">
        <v>Kerala</v>
      </c>
      <c r="D12">
        <v>27000</v>
      </c>
      <c r="E12">
        <v>21.2</v>
      </c>
      <c r="F12">
        <f>D12*E12</f>
        <v>572400</v>
      </c>
      <c r="H12">
        <v>2</v>
      </c>
      <c r="I12" t="str">
        <v>01*10*2025</v>
      </c>
      <c r="J12" t="str">
        <v>EMAM</v>
      </c>
      <c r="K12" t="str">
        <v>RTGS</v>
      </c>
      <c r="L12">
        <v>100000</v>
      </c>
    </row>
    <row r="13">
      <c r="A13">
        <v>3</v>
      </c>
      <c r="H13">
        <v>3</v>
      </c>
      <c r="I13" t="str">
        <v>01*10*2025</v>
      </c>
      <c r="J13" t="str">
        <v>FIROSH</v>
      </c>
      <c r="K13" t="str">
        <v>RTGS</v>
      </c>
      <c r="L13">
        <v>100000</v>
      </c>
    </row>
    <row r="14">
      <c r="A14">
        <v>4</v>
      </c>
      <c r="H14">
        <v>4</v>
      </c>
      <c r="I14" t="str">
        <v>01*10*2025</v>
      </c>
      <c r="J14" t="str">
        <v>KUMAR</v>
      </c>
      <c r="K14" t="str">
        <v>RTGS</v>
      </c>
      <c r="L14">
        <v>100000</v>
      </c>
    </row>
    <row r="15">
      <c r="A15">
        <v>5</v>
      </c>
      <c r="H15">
        <v>5</v>
      </c>
      <c r="I15" t="str">
        <v>4*10*2025</v>
      </c>
      <c r="J15" t="str">
        <v>ARAFA</v>
      </c>
      <c r="K15" t="str">
        <v>RTGS</v>
      </c>
      <c r="L15">
        <v>550000</v>
      </c>
      <c r="P15">
        <f>D11</f>
        <v>19950</v>
      </c>
    </row>
    <row r="16">
      <c r="A16">
        <v>6</v>
      </c>
      <c r="H16">
        <v>6</v>
      </c>
      <c r="I16" t="str">
        <v>8*10*2025</v>
      </c>
      <c r="J16" t="str">
        <v>Mohamad</v>
      </c>
      <c r="K16" t="str">
        <v>Phone pay</v>
      </c>
      <c r="L16">
        <v>21500</v>
      </c>
    </row>
    <row r="17">
      <c r="A17">
        <v>7</v>
      </c>
      <c r="H17">
        <v>7</v>
      </c>
      <c r="I17" t="str">
        <v>24/10*25</v>
      </c>
      <c r="J17" t="str">
        <v>IMARAN</v>
      </c>
      <c r="K17" t="str">
        <v>RTGS</v>
      </c>
      <c r="L17">
        <v>24000</v>
      </c>
    </row>
    <row r="18">
      <c r="A18">
        <v>8</v>
      </c>
      <c r="H18">
        <v>8</v>
      </c>
    </row>
    <row r="19">
      <c r="A19">
        <v>9</v>
      </c>
      <c r="H19">
        <v>9</v>
      </c>
    </row>
    <row r="20">
      <c r="A20">
        <v>10</v>
      </c>
      <c r="H20">
        <v>10</v>
      </c>
    </row>
    <row r="24">
      <c r="D24">
        <f>SUM(D11:D23)</f>
        <v>46950</v>
      </c>
      <c r="F24">
        <f>SUM(F11:F23)</f>
        <v>996337.5</v>
      </c>
      <c r="L24">
        <f>SUM(L11:L23)</f>
        <v>995500</v>
      </c>
    </row>
    <row r="32">
      <c r="B32">
        <v>1</v>
      </c>
      <c r="C32">
        <v>2</v>
      </c>
      <c r="D32">
        <v>3</v>
      </c>
      <c r="E32">
        <v>4</v>
      </c>
      <c r="F32">
        <v>5</v>
      </c>
    </row>
    <row r="33">
      <c r="B33" t="str">
        <v xml:space="preserve">SL NO </v>
      </c>
      <c r="C33" t="str">
        <v>DATE</v>
      </c>
      <c r="D33" t="str">
        <v>PARTY</v>
      </c>
      <c r="E33" t="str">
        <v>BAGS</v>
      </c>
      <c r="F33" t="str">
        <v>RATE</v>
      </c>
    </row>
    <row r="34">
      <c r="B34">
        <v>1</v>
      </c>
      <c r="C34" t="str">
        <v>14/11/2025</v>
      </c>
      <c r="D34" t="str">
        <v>THIRTHA</v>
      </c>
      <c r="E34">
        <v>1050</v>
      </c>
      <c r="F34">
        <v>24</v>
      </c>
    </row>
    <row r="35">
      <c r="B35">
        <v>2</v>
      </c>
      <c r="C35" t="str">
        <v>13/11/2025</v>
      </c>
      <c r="D35" t="str">
        <v>MANJANNA</v>
      </c>
      <c r="E35">
        <v>200</v>
      </c>
      <c r="F35">
        <v>23</v>
      </c>
    </row>
    <row r="36">
      <c r="B36">
        <v>3</v>
      </c>
      <c r="C36" t="str">
        <v>13/11/2025</v>
      </c>
      <c r="D36" t="str">
        <v>TIPESH KAM</v>
      </c>
      <c r="E36">
        <v>100</v>
      </c>
      <c r="F36">
        <v>23</v>
      </c>
    </row>
    <row r="37">
      <c r="B37">
        <v>4</v>
      </c>
      <c r="D37" t="str">
        <v>MANJANNA</v>
      </c>
      <c r="E37">
        <v>1000</v>
      </c>
    </row>
    <row r="38">
      <c r="B38">
        <v>5</v>
      </c>
      <c r="E38">
        <v>150</v>
      </c>
      <c r="F38">
        <v>23</v>
      </c>
    </row>
    <row r="39">
      <c r="B39">
        <v>6</v>
      </c>
      <c r="D39" t="str">
        <v>MANJANNA</v>
      </c>
      <c r="E39">
        <v>180</v>
      </c>
    </row>
    <row r="40">
      <c r="D40" t="str">
        <v>THIRTHA</v>
      </c>
      <c r="E40">
        <v>600</v>
      </c>
    </row>
    <row r="45">
      <c r="E45">
        <f>SUM(E34:E44)</f>
        <v>3280</v>
      </c>
    </row>
  </sheetData>
  <pageMargins left="0.7" right="0.7" top="0.75" bottom="0.75" header="0.3" footer="0.3"/>
  <ignoredErrors>
    <ignoredError numberStoredAsText="1" sqref="A9:P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9:N532"/>
  <sheetViews>
    <sheetView workbookViewId="0" rightToLeft="0"/>
  </sheetViews>
  <sheetData>
    <row r="9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</row>
    <row r="10">
      <c r="A10" t="str">
        <v xml:space="preserve">SL NO </v>
      </c>
      <c r="B10" t="str">
        <v>DATE</v>
      </c>
      <c r="C10" t="str">
        <v>PARTY</v>
      </c>
      <c r="D10" t="str">
        <v>DR</v>
      </c>
      <c r="E10" t="str">
        <v>CR</v>
      </c>
      <c r="F10" t="str">
        <v>AMOUNT</v>
      </c>
    </row>
    <row r="12">
      <c r="A12">
        <v>1</v>
      </c>
      <c r="B12" t="str">
        <v>13*10*2025</v>
      </c>
      <c r="C12" t="str">
        <v>SLT</v>
      </c>
      <c r="E12">
        <v>300000</v>
      </c>
    </row>
    <row r="13">
      <c r="A13">
        <v>2</v>
      </c>
      <c r="B13" t="str">
        <v>13*10*2025</v>
      </c>
      <c r="C13" t="str">
        <v>ROAP</v>
      </c>
      <c r="D13">
        <v>9200</v>
      </c>
      <c r="F13">
        <f>E12-D13</f>
        <v>290800</v>
      </c>
      <c r="N13" t="str">
        <v>DAYAMMA</v>
      </c>
    </row>
    <row r="14">
      <c r="A14">
        <v>3</v>
      </c>
      <c r="B14" t="str">
        <v>13*10*2025</v>
      </c>
      <c r="C14" t="str">
        <v>FARMER</v>
      </c>
      <c r="D14">
        <v>4000</v>
      </c>
      <c r="F14">
        <f>F13+E13-D14</f>
        <v>286800</v>
      </c>
    </row>
    <row r="15">
      <c r="A15">
        <v>4</v>
      </c>
      <c r="B15" t="str">
        <v>13*10*2025</v>
      </c>
      <c r="C15">
        <v>2</v>
      </c>
      <c r="D15">
        <v>125000</v>
      </c>
      <c r="F15">
        <f>F14+E14-D15</f>
        <v>161800</v>
      </c>
    </row>
    <row r="16">
      <c r="A16">
        <v>5</v>
      </c>
      <c r="B16" t="str">
        <v>13*10*2025</v>
      </c>
      <c r="C16">
        <v>10</v>
      </c>
      <c r="D16">
        <v>18200</v>
      </c>
      <c r="F16">
        <f>F15+E15-D16</f>
        <v>143600</v>
      </c>
    </row>
    <row r="17">
      <c r="A17">
        <v>6</v>
      </c>
      <c r="B17" t="str">
        <v>13*10*2025</v>
      </c>
      <c r="C17">
        <v>9</v>
      </c>
      <c r="D17">
        <v>44600</v>
      </c>
      <c r="F17">
        <f>F16+E16-D17</f>
        <v>99000</v>
      </c>
    </row>
    <row r="18">
      <c r="A18">
        <v>7</v>
      </c>
      <c r="B18" t="str">
        <v>13*10*2025</v>
      </c>
      <c r="C18" t="str">
        <v>HAMMALI</v>
      </c>
      <c r="D18">
        <v>16000</v>
      </c>
      <c r="F18">
        <f>F17+E17-D18</f>
        <v>83000</v>
      </c>
    </row>
    <row r="19">
      <c r="A19">
        <v>8</v>
      </c>
      <c r="B19" t="str">
        <v>14*10*2025</v>
      </c>
      <c r="C19" t="str">
        <v>MACHIN</v>
      </c>
      <c r="D19">
        <v>12000</v>
      </c>
      <c r="F19">
        <f>F18+E18-D19</f>
        <v>71000</v>
      </c>
    </row>
    <row r="20">
      <c r="A20">
        <v>9</v>
      </c>
      <c r="B20" t="str">
        <v>14*10*2025</v>
      </c>
      <c r="C20" t="str">
        <v>FOOD GIRISH</v>
      </c>
      <c r="D20">
        <v>10000</v>
      </c>
      <c r="F20">
        <f>F19+E19-D20</f>
        <v>61000</v>
      </c>
    </row>
    <row r="21">
      <c r="A21">
        <v>10</v>
      </c>
      <c r="B21" t="str">
        <v>14*10*2025</v>
      </c>
      <c r="C21">
        <v>4</v>
      </c>
      <c r="D21">
        <v>23000</v>
      </c>
      <c r="F21">
        <f>F20+E20-D21</f>
        <v>38000</v>
      </c>
    </row>
    <row r="22">
      <c r="A22">
        <v>11</v>
      </c>
      <c r="B22" t="str">
        <v>14*10*2025</v>
      </c>
      <c r="C22" t="str">
        <v>HAMMALI</v>
      </c>
      <c r="D22">
        <v>5000</v>
      </c>
      <c r="F22">
        <f>F21+E21-D22</f>
        <v>33000</v>
      </c>
    </row>
    <row r="23">
      <c r="A23">
        <v>12</v>
      </c>
      <c r="B23" t="str">
        <v>14*10*2025</v>
      </c>
      <c r="C23">
        <v>17</v>
      </c>
      <c r="D23">
        <v>3200</v>
      </c>
      <c r="F23">
        <f>F22+E22-D23</f>
        <v>29800</v>
      </c>
    </row>
    <row r="24">
      <c r="A24">
        <v>13</v>
      </c>
      <c r="B24" t="str">
        <v>13*10*2025</v>
      </c>
      <c r="C24">
        <v>11</v>
      </c>
      <c r="D24">
        <v>2000</v>
      </c>
      <c r="F24">
        <f>F23+E23-D24</f>
        <v>27800</v>
      </c>
    </row>
    <row r="25">
      <c r="A25">
        <v>14</v>
      </c>
      <c r="B25" t="str">
        <v>15*10*2025</v>
      </c>
      <c r="C25">
        <v>6</v>
      </c>
      <c r="D25">
        <v>9000</v>
      </c>
      <c r="F25">
        <f>F24+E24-D25</f>
        <v>18800</v>
      </c>
    </row>
    <row r="26">
      <c r="A26">
        <v>15</v>
      </c>
      <c r="B26" t="str">
        <v>15*10*2025</v>
      </c>
      <c r="C26" t="str">
        <v>HAMMALI</v>
      </c>
      <c r="D26">
        <v>7900</v>
      </c>
      <c r="F26">
        <f>F25+E25-D26</f>
        <v>10900</v>
      </c>
    </row>
    <row r="27">
      <c r="A27">
        <v>16</v>
      </c>
      <c r="B27" t="str">
        <v>16*10*2025</v>
      </c>
      <c r="C27">
        <v>11</v>
      </c>
      <c r="D27">
        <v>10000</v>
      </c>
      <c r="F27">
        <f>F26+E26-D27</f>
        <v>900</v>
      </c>
    </row>
    <row r="28">
      <c r="A28">
        <v>17</v>
      </c>
      <c r="B28" t="str">
        <v>16*10*2025</v>
      </c>
      <c r="C28" t="str">
        <v>SLT</v>
      </c>
      <c r="E28">
        <v>50000</v>
      </c>
      <c r="F28">
        <f>F27+E27-D28</f>
        <v>900</v>
      </c>
    </row>
    <row r="29">
      <c r="A29">
        <v>18</v>
      </c>
      <c r="B29" t="str">
        <v>16*10*2025</v>
      </c>
      <c r="C29" t="str">
        <v>SLT</v>
      </c>
      <c r="E29">
        <v>300000</v>
      </c>
      <c r="F29">
        <f>F28+E28-D29</f>
        <v>50900</v>
      </c>
    </row>
    <row r="30">
      <c r="A30">
        <v>19</v>
      </c>
      <c r="B30" t="str">
        <v>16*10*2025</v>
      </c>
      <c r="C30" t="str">
        <v>HAMMALI</v>
      </c>
      <c r="D30">
        <v>7500</v>
      </c>
      <c r="F30">
        <f>F29+E29-D30</f>
        <v>343400</v>
      </c>
    </row>
    <row r="31">
      <c r="A31">
        <v>20</v>
      </c>
      <c r="B31" t="str">
        <v>17*10*2025</v>
      </c>
      <c r="C31" t="str">
        <v>GIRISH BNK</v>
      </c>
      <c r="D31">
        <v>300000</v>
      </c>
      <c r="F31">
        <f>F30+E30-D31</f>
        <v>43400</v>
      </c>
    </row>
    <row r="32">
      <c r="A32">
        <v>21</v>
      </c>
      <c r="B32" t="str">
        <v>17*10*2025</v>
      </c>
      <c r="C32" t="str">
        <v>FARMER</v>
      </c>
      <c r="D32">
        <v>2000</v>
      </c>
      <c r="F32">
        <f>F31+E31-D32</f>
        <v>41400</v>
      </c>
    </row>
    <row r="33">
      <c r="A33">
        <v>22</v>
      </c>
      <c r="B33" t="str">
        <v>17*10*2025</v>
      </c>
      <c r="C33" t="str">
        <v>HAMMALI</v>
      </c>
      <c r="D33">
        <v>5800</v>
      </c>
      <c r="F33">
        <f>F32+E32-D33</f>
        <v>35600</v>
      </c>
    </row>
    <row r="34">
      <c r="A34">
        <v>23</v>
      </c>
      <c r="B34" t="str">
        <v>18*10*2025</v>
      </c>
      <c r="E34">
        <v>100000</v>
      </c>
      <c r="F34">
        <f>F33+E33-D34</f>
        <v>35600</v>
      </c>
    </row>
    <row r="35">
      <c r="A35">
        <v>24</v>
      </c>
      <c r="B35" t="str">
        <v>18*10*2025</v>
      </c>
      <c r="C35">
        <v>33</v>
      </c>
      <c r="D35">
        <v>39600</v>
      </c>
      <c r="F35">
        <f>F34+E34-D35</f>
        <v>96000</v>
      </c>
    </row>
    <row r="36">
      <c r="A36">
        <v>25</v>
      </c>
      <c r="B36" t="str">
        <v>18/10/2025</v>
      </c>
      <c r="C36" t="str">
        <v>HAMMALI</v>
      </c>
      <c r="D36">
        <v>9300</v>
      </c>
      <c r="F36">
        <f>F35+E35-D36</f>
        <v>86700</v>
      </c>
    </row>
    <row r="37">
      <c r="A37">
        <v>26</v>
      </c>
      <c r="B37" t="str">
        <v>18/10/2025</v>
      </c>
      <c r="C37" t="str">
        <v>FARMER</v>
      </c>
      <c r="D37">
        <v>1000</v>
      </c>
      <c r="F37">
        <f>F36+E36-D37</f>
        <v>85700</v>
      </c>
    </row>
    <row r="38">
      <c r="A38">
        <v>27</v>
      </c>
      <c r="B38" t="str">
        <v>20/10/2025</v>
      </c>
      <c r="C38" t="str">
        <v>HAMMALI</v>
      </c>
      <c r="D38">
        <v>8800</v>
      </c>
      <c r="F38">
        <f>F37+E37-D38</f>
        <v>76900</v>
      </c>
    </row>
    <row r="39">
      <c r="A39">
        <v>28</v>
      </c>
      <c r="B39" t="str">
        <v>21*10*2025</v>
      </c>
      <c r="C39" t="str">
        <v>MANJU MASSUR</v>
      </c>
      <c r="D39">
        <v>50000</v>
      </c>
      <c r="F39">
        <f>F38+E38-D39</f>
        <v>26900</v>
      </c>
    </row>
    <row r="40">
      <c r="A40">
        <v>29</v>
      </c>
      <c r="B40" t="str">
        <v>21*10*2025</v>
      </c>
      <c r="C40" t="str">
        <v>HARISH MAIZE</v>
      </c>
      <c r="D40">
        <v>1100</v>
      </c>
      <c r="F40">
        <f>F39+E39-D40</f>
        <v>25800</v>
      </c>
    </row>
    <row r="41">
      <c r="A41">
        <v>30</v>
      </c>
      <c r="B41" t="str">
        <v>21*10*2025</v>
      </c>
      <c r="C41" t="str">
        <v>HAMMALI</v>
      </c>
      <c r="D41">
        <v>5200</v>
      </c>
      <c r="F41">
        <f>F40+E40-D41</f>
        <v>20600</v>
      </c>
    </row>
    <row r="42">
      <c r="A42">
        <v>31</v>
      </c>
      <c r="B42" t="str">
        <v>24*10*2025</v>
      </c>
      <c r="C42" t="str">
        <v>HAMMALI</v>
      </c>
      <c r="D42">
        <v>2600</v>
      </c>
      <c r="F42">
        <f>F41+E41-D42</f>
        <v>18000</v>
      </c>
    </row>
    <row r="43">
      <c r="A43">
        <v>32</v>
      </c>
      <c r="B43" t="str">
        <v>25*10*2025</v>
      </c>
      <c r="C43" t="str">
        <v>HAMMALI</v>
      </c>
      <c r="D43">
        <v>10300</v>
      </c>
      <c r="F43">
        <f>F42+E42-D43</f>
        <v>7700</v>
      </c>
    </row>
    <row r="44">
      <c r="A44">
        <v>33</v>
      </c>
      <c r="B44" t="str">
        <v>26*10*2025</v>
      </c>
      <c r="E44">
        <v>50000</v>
      </c>
      <c r="F44">
        <f>F43+E43-D44</f>
        <v>7700</v>
      </c>
    </row>
    <row r="45">
      <c r="A45">
        <v>34</v>
      </c>
      <c r="B45" t="str">
        <v>26*10*2025</v>
      </c>
      <c r="C45" t="str">
        <v>HAMMALI</v>
      </c>
      <c r="D45">
        <v>6700</v>
      </c>
      <c r="F45">
        <f>F44+E44-D45</f>
        <v>51000</v>
      </c>
    </row>
    <row r="46">
      <c r="A46">
        <v>35</v>
      </c>
      <c r="B46" t="str">
        <v>26*10*2025</v>
      </c>
      <c r="C46">
        <v>58</v>
      </c>
      <c r="D46">
        <v>8000</v>
      </c>
      <c r="F46">
        <f>F45+E45-D46</f>
        <v>43000</v>
      </c>
    </row>
    <row r="47">
      <c r="A47">
        <v>36</v>
      </c>
      <c r="B47" t="str">
        <v>28*10*2025</v>
      </c>
      <c r="C47" t="str">
        <v>HAMMALI</v>
      </c>
      <c r="D47">
        <v>1500</v>
      </c>
      <c r="F47">
        <f>F46+E46-D47</f>
        <v>41500</v>
      </c>
    </row>
    <row r="48">
      <c r="A48">
        <v>37</v>
      </c>
      <c r="B48" t="str">
        <v>29*10*2025</v>
      </c>
      <c r="C48" t="str">
        <v>HAMMALI</v>
      </c>
      <c r="D48">
        <v>500</v>
      </c>
      <c r="F48">
        <f>F47+E47-D48</f>
        <v>41000</v>
      </c>
    </row>
    <row r="49">
      <c r="A49">
        <v>38</v>
      </c>
      <c r="B49" t="str">
        <v>29*10*2025</v>
      </c>
      <c r="C49">
        <v>65</v>
      </c>
      <c r="D49">
        <v>8200</v>
      </c>
      <c r="F49">
        <f>F48+E48-D49</f>
        <v>32800</v>
      </c>
    </row>
    <row r="50">
      <c r="A50">
        <v>39</v>
      </c>
      <c r="B50" t="str">
        <v>30*10*2025</v>
      </c>
      <c r="C50">
        <v>11</v>
      </c>
      <c r="D50">
        <v>4500</v>
      </c>
      <c r="F50">
        <f>F49+E49-D50</f>
        <v>28300</v>
      </c>
    </row>
    <row r="51">
      <c r="A51">
        <v>40</v>
      </c>
      <c r="B51" t="str">
        <v>30*10*2025</v>
      </c>
      <c r="C51" t="str">
        <v>HAMMALI</v>
      </c>
      <c r="D51">
        <v>3150</v>
      </c>
      <c r="F51">
        <f>F50+E50-D51</f>
        <v>25150</v>
      </c>
    </row>
    <row r="52">
      <c r="A52">
        <v>41</v>
      </c>
      <c r="B52" t="str">
        <v>31-01-2025</v>
      </c>
      <c r="C52" t="str">
        <v>HAMMALI</v>
      </c>
      <c r="D52">
        <v>1500</v>
      </c>
      <c r="F52">
        <f>F51+E51-D52</f>
        <v>23650</v>
      </c>
    </row>
    <row r="53">
      <c r="A53">
        <v>42</v>
      </c>
      <c r="B53" t="str">
        <v>01*11*2025</v>
      </c>
      <c r="C53" t="str">
        <v>HAMMALI</v>
      </c>
      <c r="D53">
        <v>9300</v>
      </c>
      <c r="F53">
        <f>F52+E52-D53</f>
        <v>14350</v>
      </c>
    </row>
    <row r="54">
      <c r="A54">
        <v>43</v>
      </c>
      <c r="B54" t="str">
        <v>01*11*2025</v>
      </c>
      <c r="C54">
        <v>69</v>
      </c>
      <c r="D54">
        <v>15000</v>
      </c>
      <c r="F54">
        <f>F53+E53-D54</f>
        <v>-650</v>
      </c>
    </row>
    <row r="55">
      <c r="A55">
        <v>44</v>
      </c>
      <c r="B55" t="str">
        <v>01*11*2025</v>
      </c>
      <c r="C55" t="str">
        <v>SLT</v>
      </c>
      <c r="E55">
        <v>50000</v>
      </c>
      <c r="F55">
        <f>F54+E54-D55</f>
        <v>-650</v>
      </c>
    </row>
    <row r="56">
      <c r="A56">
        <v>45</v>
      </c>
      <c r="B56" t="str">
        <v>02*11*2025</v>
      </c>
      <c r="C56">
        <v>76</v>
      </c>
      <c r="D56">
        <v>7000</v>
      </c>
      <c r="F56">
        <f>F55+E55-D56</f>
        <v>42350</v>
      </c>
    </row>
    <row r="57">
      <c r="A57">
        <v>46</v>
      </c>
      <c r="B57" t="str">
        <v>02*11*2025</v>
      </c>
      <c r="C57" t="str">
        <v>advance81</v>
      </c>
      <c r="D57">
        <v>3000</v>
      </c>
      <c r="F57">
        <f>F56+E56-D57</f>
        <v>39350</v>
      </c>
    </row>
    <row r="58">
      <c r="A58">
        <v>47</v>
      </c>
      <c r="B58" t="str">
        <v>02*11*2025</v>
      </c>
      <c r="C58" t="str">
        <v>HAMMALI</v>
      </c>
      <c r="D58">
        <v>5400</v>
      </c>
      <c r="F58">
        <f>F57+E57-D58</f>
        <v>33950</v>
      </c>
    </row>
    <row r="59">
      <c r="A59">
        <v>48</v>
      </c>
      <c r="B59" t="str">
        <v>04*11*2025</v>
      </c>
      <c r="C59">
        <v>11</v>
      </c>
      <c r="D59">
        <v>3000</v>
      </c>
      <c r="F59">
        <f>F58+E58-D59</f>
        <v>30950</v>
      </c>
    </row>
    <row r="60">
      <c r="A60">
        <v>49</v>
      </c>
      <c r="B60" t="str">
        <v>03*11*2025</v>
      </c>
      <c r="C60" t="str">
        <v>HAMMALI</v>
      </c>
      <c r="D60">
        <v>10500</v>
      </c>
      <c r="F60">
        <f>F59+E59-D60</f>
        <v>20450</v>
      </c>
    </row>
    <row r="61">
      <c r="A61">
        <v>50</v>
      </c>
      <c r="B61" t="str">
        <v>04*11*2025</v>
      </c>
      <c r="C61" t="str">
        <v>HAMMALI</v>
      </c>
      <c r="D61">
        <v>11000</v>
      </c>
      <c r="F61">
        <f>F60+E60-D61</f>
        <v>9450</v>
      </c>
    </row>
    <row r="62">
      <c r="A62">
        <v>51</v>
      </c>
      <c r="B62" t="str">
        <v>05*11*2025</v>
      </c>
      <c r="C62" t="str">
        <v>VINI ANNA</v>
      </c>
      <c r="E62">
        <v>76000</v>
      </c>
      <c r="F62">
        <f>F61+E61-D62</f>
        <v>9450</v>
      </c>
    </row>
    <row r="63">
      <c r="A63">
        <v>52</v>
      </c>
      <c r="B63" t="str">
        <v>05*11*2025</v>
      </c>
      <c r="C63">
        <v>98</v>
      </c>
      <c r="D63">
        <v>45850</v>
      </c>
      <c r="F63">
        <f>F62+E62-D63</f>
        <v>39600</v>
      </c>
    </row>
    <row r="64">
      <c r="A64">
        <v>53</v>
      </c>
      <c r="B64" t="str">
        <v>05*11*2025</v>
      </c>
      <c r="C64">
        <v>99</v>
      </c>
      <c r="D64">
        <v>9907</v>
      </c>
      <c r="F64">
        <f>F63+E63-D64</f>
        <v>29693</v>
      </c>
    </row>
    <row r="65">
      <c r="A65">
        <v>54</v>
      </c>
      <c r="B65" t="str">
        <v>05*11*2025</v>
      </c>
      <c r="C65" t="str">
        <v>RAJU KNH</v>
      </c>
      <c r="D65">
        <v>5000</v>
      </c>
      <c r="F65">
        <f>F64+E64-D65</f>
        <v>24693</v>
      </c>
    </row>
    <row r="66">
      <c r="A66">
        <v>55</v>
      </c>
      <c r="B66" t="str">
        <v>05*11*2025</v>
      </c>
      <c r="C66" t="str">
        <v>HAMMALI</v>
      </c>
      <c r="D66">
        <v>13300</v>
      </c>
      <c r="F66">
        <f>F65+E65-D66</f>
        <v>11393</v>
      </c>
    </row>
    <row r="67">
      <c r="A67">
        <v>56</v>
      </c>
      <c r="B67" t="str">
        <v>06*11*2025</v>
      </c>
      <c r="C67" t="str">
        <v>weight payment</v>
      </c>
      <c r="D67">
        <v>1300</v>
      </c>
      <c r="F67">
        <f>F66+E66-D67</f>
        <v>10093</v>
      </c>
    </row>
    <row r="68">
      <c r="A68">
        <v>57</v>
      </c>
      <c r="B68" t="str">
        <v>06*11*2025</v>
      </c>
      <c r="C68" t="str">
        <v>FARMER SALE</v>
      </c>
      <c r="E68">
        <v>15000</v>
      </c>
      <c r="F68">
        <f>F67+E67-D68</f>
        <v>10093</v>
      </c>
    </row>
    <row r="69">
      <c r="A69">
        <v>58</v>
      </c>
      <c r="B69" t="str">
        <v>06*11*2025</v>
      </c>
      <c r="C69" t="str">
        <v>HAMMALI</v>
      </c>
      <c r="D69">
        <v>16300</v>
      </c>
      <c r="F69">
        <f>F68+E68-D69</f>
        <v>8793</v>
      </c>
    </row>
    <row r="70">
      <c r="A70">
        <v>59</v>
      </c>
      <c r="B70" t="str">
        <v>7*11*2025</v>
      </c>
      <c r="C70" t="str">
        <v>accont</v>
      </c>
      <c r="E70">
        <v>4500</v>
      </c>
      <c r="F70">
        <f>F69+E69-D70</f>
        <v>8793</v>
      </c>
    </row>
    <row r="71">
      <c r="A71">
        <v>60</v>
      </c>
      <c r="C71">
        <v>118</v>
      </c>
      <c r="D71">
        <v>2000</v>
      </c>
      <c r="F71">
        <f>F70+E70-D71</f>
        <v>11293</v>
      </c>
    </row>
    <row r="72">
      <c r="A72">
        <v>61</v>
      </c>
      <c r="B72" t="str">
        <v>09*11*2025</v>
      </c>
      <c r="E72">
        <v>50000</v>
      </c>
      <c r="F72">
        <f>F71+E71-D72</f>
        <v>11293</v>
      </c>
    </row>
    <row r="73">
      <c r="A73">
        <v>62</v>
      </c>
      <c r="B73" t="str">
        <v>09*11*2205</v>
      </c>
      <c r="C73">
        <v>131</v>
      </c>
      <c r="D73">
        <v>2000</v>
      </c>
      <c r="F73">
        <f>F72+E72-D73</f>
        <v>59293</v>
      </c>
    </row>
    <row r="74">
      <c r="A74">
        <v>63</v>
      </c>
      <c r="B74" t="str">
        <v>07*11*2025</v>
      </c>
      <c r="C74" t="str">
        <v>HAMMLI</v>
      </c>
      <c r="D74">
        <v>13000</v>
      </c>
      <c r="F74">
        <f>F73+E73-D74</f>
        <v>46293</v>
      </c>
    </row>
    <row r="75">
      <c r="A75">
        <v>64</v>
      </c>
      <c r="B75" t="str">
        <v>8*11*202</v>
      </c>
      <c r="C75" t="str">
        <v>HAMMLI</v>
      </c>
      <c r="D75">
        <v>17000</v>
      </c>
      <c r="F75">
        <f>F74+E74-D75</f>
        <v>29293</v>
      </c>
    </row>
    <row r="76">
      <c r="A76">
        <v>65</v>
      </c>
      <c r="B76">
        <v>45911</v>
      </c>
      <c r="C76" t="str">
        <v>HAMMLI</v>
      </c>
      <c r="D76">
        <v>12500</v>
      </c>
      <c r="F76">
        <f>F75+E75-D76</f>
        <v>16793</v>
      </c>
    </row>
    <row r="77">
      <c r="A77">
        <v>66</v>
      </c>
      <c r="B77">
        <v>45911</v>
      </c>
      <c r="C77" t="str">
        <v>130-1</v>
      </c>
      <c r="D77">
        <v>5500</v>
      </c>
      <c r="F77">
        <f>F76+E76-D77</f>
        <v>11293</v>
      </c>
    </row>
    <row r="78">
      <c r="A78">
        <v>67</v>
      </c>
      <c r="B78" t="str">
        <v>10*11*2025</v>
      </c>
      <c r="C78">
        <v>128</v>
      </c>
      <c r="D78">
        <v>3000</v>
      </c>
      <c r="F78">
        <f>F77+E77-D78</f>
        <v>8293</v>
      </c>
    </row>
    <row r="79">
      <c r="A79">
        <v>68</v>
      </c>
      <c r="B79" t="str">
        <v>10*11*2025</v>
      </c>
      <c r="E79">
        <v>100000</v>
      </c>
      <c r="F79">
        <f>F78+E78-D79</f>
        <v>8293</v>
      </c>
    </row>
    <row r="80">
      <c r="A80">
        <v>69</v>
      </c>
      <c r="B80" t="str">
        <v>10*11*2025</v>
      </c>
      <c r="C80">
        <v>124</v>
      </c>
      <c r="D80">
        <v>13000</v>
      </c>
      <c r="F80">
        <f>F79+E79-D80</f>
        <v>95293</v>
      </c>
    </row>
    <row r="81">
      <c r="A81">
        <v>70</v>
      </c>
      <c r="B81" t="str">
        <v>10*11*2025</v>
      </c>
      <c r="C81">
        <v>109</v>
      </c>
      <c r="D81">
        <v>60300</v>
      </c>
      <c r="F81">
        <f>F80+E80-D81</f>
        <v>34993</v>
      </c>
    </row>
    <row r="82">
      <c r="A82">
        <v>71</v>
      </c>
      <c r="B82" t="str">
        <v>10*11*2025</v>
      </c>
      <c r="C82">
        <v>134</v>
      </c>
      <c r="D82">
        <v>12750</v>
      </c>
      <c r="F82">
        <f>F81+E81-D82</f>
        <v>22243</v>
      </c>
    </row>
    <row r="83">
      <c r="A83">
        <v>72</v>
      </c>
      <c r="B83" t="str">
        <v>10*11*2025</v>
      </c>
      <c r="C83">
        <v>140</v>
      </c>
      <c r="D83">
        <v>1000</v>
      </c>
      <c r="F83">
        <f>F82+E82-D83</f>
        <v>21243</v>
      </c>
    </row>
    <row r="84">
      <c r="A84">
        <v>73</v>
      </c>
      <c r="B84" t="str">
        <v>10*11*2025</v>
      </c>
      <c r="E84">
        <v>10000</v>
      </c>
      <c r="F84">
        <f>F83+E83-D84</f>
        <v>21243</v>
      </c>
    </row>
    <row r="85">
      <c r="A85">
        <v>74</v>
      </c>
      <c r="B85" t="str">
        <v>10*11*2025</v>
      </c>
      <c r="C85" t="str">
        <v>HAMMALI</v>
      </c>
      <c r="D85">
        <v>22000</v>
      </c>
      <c r="F85">
        <f>F84+E84-D85</f>
        <v>9243</v>
      </c>
    </row>
    <row r="86">
      <c r="A86">
        <v>75</v>
      </c>
      <c r="B86" t="str">
        <v>10*11*2025</v>
      </c>
      <c r="C86" t="str">
        <v>FARMER</v>
      </c>
      <c r="D86">
        <v>500</v>
      </c>
      <c r="F86">
        <f>F85+E85-D86</f>
        <v>8743</v>
      </c>
    </row>
    <row r="87">
      <c r="A87">
        <v>76</v>
      </c>
      <c r="B87" t="str">
        <v>11*11*2025</v>
      </c>
      <c r="E87">
        <v>50000</v>
      </c>
      <c r="F87">
        <f>F86+E86-D87</f>
        <v>8743</v>
      </c>
    </row>
    <row r="88">
      <c r="A88">
        <v>77</v>
      </c>
      <c r="B88" t="str">
        <v>11*11*2025</v>
      </c>
      <c r="C88">
        <v>147</v>
      </c>
      <c r="D88">
        <v>1000</v>
      </c>
      <c r="F88">
        <f>F87+E87-D88</f>
        <v>57743</v>
      </c>
    </row>
    <row r="89">
      <c r="A89">
        <v>78</v>
      </c>
      <c r="B89" t="str">
        <v>11*11*2025</v>
      </c>
      <c r="C89">
        <v>143</v>
      </c>
      <c r="D89">
        <v>1000</v>
      </c>
      <c r="F89">
        <f>F88+E88-D89</f>
        <v>56743</v>
      </c>
    </row>
    <row r="90">
      <c r="A90">
        <v>79</v>
      </c>
      <c r="B90" t="str">
        <v>11*11*2025</v>
      </c>
      <c r="C90" t="str">
        <v>FARMER</v>
      </c>
      <c r="D90">
        <v>1500</v>
      </c>
      <c r="F90">
        <f>F89+E89-D90</f>
        <v>55243</v>
      </c>
    </row>
    <row r="91">
      <c r="A91">
        <v>80</v>
      </c>
      <c r="B91" t="str">
        <v>11*11*2025</v>
      </c>
      <c r="C91" t="str">
        <v>HAMMALI</v>
      </c>
      <c r="D91">
        <v>13200</v>
      </c>
      <c r="F91">
        <f>F90+E90-D91</f>
        <v>42043</v>
      </c>
    </row>
    <row r="92">
      <c r="A92">
        <v>81</v>
      </c>
      <c r="B92" t="str">
        <v>12*11*2025</v>
      </c>
      <c r="C92">
        <v>161</v>
      </c>
      <c r="D92">
        <v>10000</v>
      </c>
      <c r="F92">
        <f>F91+E91-D92</f>
        <v>32043</v>
      </c>
    </row>
    <row r="93">
      <c r="A93">
        <v>82</v>
      </c>
      <c r="B93" t="str">
        <v>12*11*2025</v>
      </c>
      <c r="C93" t="str">
        <v>HAMALI</v>
      </c>
      <c r="D93">
        <v>16300</v>
      </c>
      <c r="F93">
        <f>F92+E92-D93</f>
        <v>15743</v>
      </c>
    </row>
    <row r="94">
      <c r="A94">
        <v>83</v>
      </c>
      <c r="B94" t="str">
        <v>12*11*2025</v>
      </c>
      <c r="C94" t="str">
        <v>FARMER CHECK</v>
      </c>
      <c r="D94">
        <v>7000</v>
      </c>
      <c r="F94">
        <f>F93+E93-D94</f>
        <v>8743</v>
      </c>
    </row>
    <row r="95">
      <c r="A95">
        <v>84</v>
      </c>
      <c r="E95">
        <v>100000</v>
      </c>
      <c r="F95">
        <f>F94+E94-D95</f>
        <v>8743</v>
      </c>
    </row>
    <row r="96">
      <c r="A96">
        <v>85</v>
      </c>
      <c r="B96" t="str">
        <v>13*11*2025</v>
      </c>
      <c r="C96">
        <v>164</v>
      </c>
      <c r="D96">
        <v>32500</v>
      </c>
      <c r="F96">
        <f>F95+E95-D96</f>
        <v>76243</v>
      </c>
    </row>
    <row r="97">
      <c r="A97">
        <v>86</v>
      </c>
      <c r="B97" t="str">
        <v>13*11*2025</v>
      </c>
      <c r="C97">
        <v>155</v>
      </c>
      <c r="D97">
        <v>14700</v>
      </c>
      <c r="F97">
        <f>F96+E96-D97</f>
        <v>61543</v>
      </c>
    </row>
    <row r="98">
      <c r="A98">
        <v>87</v>
      </c>
      <c r="B98" t="str">
        <v>13*11*2025</v>
      </c>
      <c r="C98" t="str">
        <v>107KG 17.5 LOSE</v>
      </c>
      <c r="D98">
        <v>1900</v>
      </c>
      <c r="F98">
        <f>F97+E97-D98</f>
        <v>59643</v>
      </c>
    </row>
    <row r="99">
      <c r="A99">
        <v>88</v>
      </c>
      <c r="B99" t="str">
        <v>13*11*2025</v>
      </c>
      <c r="C99">
        <v>174</v>
      </c>
      <c r="D99">
        <v>9600</v>
      </c>
      <c r="F99">
        <f>F98+E98-D99</f>
        <v>50043</v>
      </c>
    </row>
    <row r="100">
      <c r="A100">
        <v>89</v>
      </c>
      <c r="B100" t="str">
        <v>13*11*2025</v>
      </c>
      <c r="C100">
        <v>172</v>
      </c>
      <c r="D100">
        <v>15800</v>
      </c>
      <c r="F100">
        <f>F99+E99-D100</f>
        <v>34243</v>
      </c>
    </row>
    <row r="101">
      <c r="A101">
        <v>90</v>
      </c>
      <c r="B101" t="str">
        <v>13*11*2025</v>
      </c>
      <c r="C101">
        <v>171</v>
      </c>
      <c r="D101">
        <v>15200</v>
      </c>
      <c r="F101">
        <f>F100+E100-D101</f>
        <v>19043</v>
      </c>
    </row>
    <row r="102">
      <c r="A102">
        <v>91</v>
      </c>
      <c r="B102" t="str">
        <v>13*11*2025</v>
      </c>
      <c r="C102" t="str">
        <v>ABHI</v>
      </c>
      <c r="D102">
        <v>1500</v>
      </c>
      <c r="F102">
        <f>F101+E101-D102</f>
        <v>17543</v>
      </c>
    </row>
    <row r="103">
      <c r="A103">
        <v>92</v>
      </c>
      <c r="C103" t="str">
        <v>HAMALI</v>
      </c>
      <c r="D103">
        <v>13100</v>
      </c>
      <c r="F103">
        <f>F102+E102-D103</f>
        <v>4443</v>
      </c>
    </row>
    <row r="104">
      <c r="A104">
        <v>93</v>
      </c>
      <c r="C104" t="str">
        <v>nandi</v>
      </c>
      <c r="D104">
        <v>2000</v>
      </c>
      <c r="F104">
        <f>F103+E103-D104</f>
        <v>2443</v>
      </c>
    </row>
    <row r="105">
      <c r="A105">
        <v>94</v>
      </c>
      <c r="B105" t="str">
        <v>14*11*2025</v>
      </c>
      <c r="E105">
        <v>50000</v>
      </c>
      <c r="F105">
        <f>F104+E104-D105</f>
        <v>2443</v>
      </c>
    </row>
    <row r="106">
      <c r="A106">
        <v>95</v>
      </c>
      <c r="B106" t="str">
        <v>14*11*2025</v>
      </c>
      <c r="C106" t="str">
        <v>HAMMALI</v>
      </c>
      <c r="D106">
        <v>16700</v>
      </c>
      <c r="F106">
        <f>F105+E105-D106</f>
        <v>35743</v>
      </c>
    </row>
    <row r="107">
      <c r="A107">
        <v>96</v>
      </c>
      <c r="C107">
        <v>282</v>
      </c>
      <c r="D107">
        <v>5000</v>
      </c>
      <c r="F107">
        <f>F106+E106-D107</f>
        <v>30743</v>
      </c>
    </row>
    <row r="108">
      <c r="A108">
        <v>97</v>
      </c>
      <c r="C108" t="str">
        <v>FARMER</v>
      </c>
      <c r="D108">
        <v>7000</v>
      </c>
      <c r="F108">
        <f>F107+E107-D108</f>
        <v>23743</v>
      </c>
    </row>
    <row r="109">
      <c r="A109">
        <v>98</v>
      </c>
      <c r="B109" t="str">
        <v>15*11*2025</v>
      </c>
      <c r="C109" t="str">
        <v>HAMMALI</v>
      </c>
      <c r="D109">
        <v>12500</v>
      </c>
      <c r="F109">
        <f>F108+E108-D109</f>
        <v>11243</v>
      </c>
    </row>
    <row r="110">
      <c r="A110">
        <v>99</v>
      </c>
      <c r="B110" t="str">
        <v>15*11*2025</v>
      </c>
      <c r="C110" t="str">
        <v>FARMER</v>
      </c>
      <c r="D110">
        <v>5000</v>
      </c>
      <c r="F110">
        <f>F109+E109-D110</f>
        <v>6243</v>
      </c>
    </row>
    <row r="111">
      <c r="A111">
        <v>100</v>
      </c>
      <c r="B111" t="str">
        <v>16*11*2025</v>
      </c>
      <c r="C111" t="str">
        <v>HAMMALI</v>
      </c>
      <c r="D111">
        <v>19200</v>
      </c>
      <c r="F111">
        <f>F110+E110-D111</f>
        <v>-12957</v>
      </c>
    </row>
    <row r="112">
      <c r="A112">
        <v>101</v>
      </c>
      <c r="B112" t="str">
        <v>16*11*2025</v>
      </c>
      <c r="E112">
        <v>50000</v>
      </c>
      <c r="F112">
        <f>F111+E111-D112</f>
        <v>-12957</v>
      </c>
    </row>
    <row r="113">
      <c r="A113">
        <v>102</v>
      </c>
      <c r="B113" t="str">
        <v>17*11*2025</v>
      </c>
      <c r="E113">
        <v>100000</v>
      </c>
      <c r="F113">
        <f>F112+E112-D113</f>
        <v>37043</v>
      </c>
    </row>
    <row r="114">
      <c r="A114">
        <v>103</v>
      </c>
      <c r="B114" t="str">
        <v>17*11*2025</v>
      </c>
      <c r="C114">
        <v>182</v>
      </c>
      <c r="D114">
        <v>16000</v>
      </c>
      <c r="F114">
        <f>F113+E113-D114</f>
        <v>121043</v>
      </c>
    </row>
    <row r="115">
      <c r="A115">
        <v>104</v>
      </c>
      <c r="C115">
        <v>183</v>
      </c>
      <c r="D115">
        <v>33000</v>
      </c>
      <c r="F115">
        <f>F114+E114-D115</f>
        <v>88043</v>
      </c>
    </row>
    <row r="116">
      <c r="A116">
        <v>105</v>
      </c>
      <c r="C116">
        <v>184</v>
      </c>
      <c r="D116">
        <v>18500</v>
      </c>
      <c r="F116">
        <f>F115+E115-D116</f>
        <v>69543</v>
      </c>
    </row>
    <row r="117">
      <c r="A117">
        <v>106</v>
      </c>
      <c r="C117">
        <v>185</v>
      </c>
      <c r="D117">
        <v>10500</v>
      </c>
      <c r="F117">
        <f>F116+E116-D117</f>
        <v>59043</v>
      </c>
    </row>
    <row r="118">
      <c r="A118">
        <v>107</v>
      </c>
      <c r="B118" t="str">
        <v>17*11*2025</v>
      </c>
      <c r="C118" t="str">
        <v>HAMMALI</v>
      </c>
      <c r="D118">
        <v>15000</v>
      </c>
      <c r="F118">
        <f>F117+E117-D118</f>
        <v>44043</v>
      </c>
    </row>
    <row r="119">
      <c r="A119">
        <v>108</v>
      </c>
      <c r="B119" t="str">
        <v>18*11*2025</v>
      </c>
      <c r="E119">
        <v>20000</v>
      </c>
      <c r="F119">
        <f>F118+E118-D119</f>
        <v>44043</v>
      </c>
    </row>
    <row r="120">
      <c r="A120">
        <v>109</v>
      </c>
      <c r="B120" t="str">
        <v>18*11*2025</v>
      </c>
      <c r="C120">
        <v>181</v>
      </c>
      <c r="D120">
        <v>10000</v>
      </c>
      <c r="F120">
        <f>F119+E119-D120</f>
        <v>54043</v>
      </c>
    </row>
    <row r="121">
      <c r="A121">
        <v>110</v>
      </c>
      <c r="C121" t="str">
        <v>FARMER</v>
      </c>
      <c r="D121">
        <v>15000</v>
      </c>
      <c r="F121">
        <f>F120+E120-D121</f>
        <v>39043</v>
      </c>
    </row>
    <row r="122">
      <c r="A122">
        <v>111</v>
      </c>
      <c r="C122" t="str">
        <v>HAMMALI</v>
      </c>
      <c r="D122">
        <v>27000</v>
      </c>
      <c r="F122">
        <f>F121+E121-D122</f>
        <v>12043</v>
      </c>
    </row>
    <row r="123">
      <c r="A123">
        <v>112</v>
      </c>
      <c r="B123" t="str">
        <v>19*11*2025</v>
      </c>
      <c r="E123">
        <v>20000</v>
      </c>
      <c r="F123">
        <f>F122+E122-D123</f>
        <v>12043</v>
      </c>
    </row>
    <row r="124">
      <c r="A124">
        <v>113</v>
      </c>
      <c r="B124" t="str">
        <v>20*11*2025</v>
      </c>
      <c r="E124">
        <v>50000</v>
      </c>
      <c r="F124">
        <f>F123+E123-D124</f>
        <v>32043</v>
      </c>
    </row>
    <row r="125">
      <c r="A125">
        <v>114</v>
      </c>
      <c r="B125" t="str">
        <v>20*11*2025</v>
      </c>
      <c r="C125">
        <v>232</v>
      </c>
      <c r="D125">
        <v>23500</v>
      </c>
      <c r="F125">
        <f>F124+E124-D125</f>
        <v>58543</v>
      </c>
    </row>
    <row r="126">
      <c r="A126">
        <v>115</v>
      </c>
      <c r="B126" t="str">
        <v>20*11*2025</v>
      </c>
      <c r="C126">
        <v>223</v>
      </c>
      <c r="D126">
        <v>20500</v>
      </c>
      <c r="F126">
        <f>F125+E125-D126</f>
        <v>38043</v>
      </c>
    </row>
    <row r="127">
      <c r="A127">
        <v>116</v>
      </c>
      <c r="B127" t="str">
        <v>20*11*2025</v>
      </c>
      <c r="C127">
        <v>243</v>
      </c>
      <c r="D127">
        <v>15000</v>
      </c>
      <c r="F127">
        <f>F126+E126-D127</f>
        <v>23043</v>
      </c>
    </row>
    <row r="128">
      <c r="A128">
        <v>117</v>
      </c>
      <c r="B128" t="str">
        <v>20*11*2025</v>
      </c>
      <c r="C128">
        <v>242</v>
      </c>
      <c r="D128">
        <v>1000</v>
      </c>
      <c r="F128">
        <f>F127+E127-D128</f>
        <v>22043</v>
      </c>
    </row>
    <row r="129">
      <c r="A129">
        <v>118</v>
      </c>
      <c r="B129" t="str">
        <v>20*11*2025</v>
      </c>
      <c r="C129" t="str">
        <v>FARMER</v>
      </c>
      <c r="D129">
        <v>1500</v>
      </c>
      <c r="F129">
        <f>F128+E128-D129</f>
        <v>20543</v>
      </c>
    </row>
    <row r="130">
      <c r="A130">
        <v>119</v>
      </c>
      <c r="C130">
        <v>254</v>
      </c>
      <c r="D130">
        <v>1000</v>
      </c>
      <c r="F130">
        <f>F129+E129-D130</f>
        <v>19543</v>
      </c>
    </row>
    <row r="131">
      <c r="A131">
        <v>120</v>
      </c>
      <c r="C131">
        <v>228</v>
      </c>
      <c r="D131">
        <v>1000</v>
      </c>
      <c r="F131">
        <f>F130+E130-D131</f>
        <v>18543</v>
      </c>
    </row>
    <row r="132">
      <c r="A132">
        <v>121</v>
      </c>
      <c r="C132">
        <v>230</v>
      </c>
      <c r="D132">
        <v>1000</v>
      </c>
      <c r="F132">
        <f>F131+E131-D132</f>
        <v>17543</v>
      </c>
    </row>
    <row r="133">
      <c r="A133">
        <v>122</v>
      </c>
      <c r="B133" t="str">
        <v>19*11*2025</v>
      </c>
      <c r="C133" t="str">
        <v>HAMMALI</v>
      </c>
      <c r="D133">
        <v>13300</v>
      </c>
      <c r="F133">
        <f>F132+E132-D133</f>
        <v>4243</v>
      </c>
    </row>
    <row r="134">
      <c r="A134">
        <v>123</v>
      </c>
      <c r="B134" t="str">
        <v>20*11*2025</v>
      </c>
      <c r="C134" t="str">
        <v>HAMMALI</v>
      </c>
      <c r="D134">
        <v>20800</v>
      </c>
      <c r="F134">
        <f>F133+E133-D134</f>
        <v>-16557</v>
      </c>
    </row>
    <row r="135">
      <c r="A135">
        <v>124</v>
      </c>
      <c r="B135" t="str">
        <v>21*11*2025</v>
      </c>
      <c r="C135" t="str">
        <v>DIVYA</v>
      </c>
      <c r="E135">
        <v>68500</v>
      </c>
      <c r="F135">
        <f>F134+E134-D135</f>
        <v>-16557</v>
      </c>
    </row>
    <row r="136">
      <c r="A136">
        <v>125</v>
      </c>
      <c r="C136" t="str">
        <v>HAMMALI OLD</v>
      </c>
      <c r="D136">
        <v>1000</v>
      </c>
      <c r="F136">
        <f>F135+E135-D136</f>
        <v>50943</v>
      </c>
    </row>
    <row r="137">
      <c r="A137">
        <v>126</v>
      </c>
      <c r="C137" t="str">
        <v>TRACTOR OIL</v>
      </c>
      <c r="D137">
        <v>500</v>
      </c>
      <c r="F137">
        <f>F136+E136-D137</f>
        <v>50443</v>
      </c>
    </row>
    <row r="138">
      <c r="A138">
        <v>127</v>
      </c>
      <c r="B138" t="str">
        <v>21*11*2025</v>
      </c>
      <c r="C138" t="str">
        <v>HAMMALI</v>
      </c>
      <c r="D138">
        <v>19800</v>
      </c>
      <c r="F138">
        <f>F137+E137-D138</f>
        <v>30643</v>
      </c>
    </row>
    <row r="139">
      <c r="A139">
        <v>128</v>
      </c>
      <c r="B139" t="str">
        <v>22*11*2025</v>
      </c>
      <c r="C139">
        <v>248</v>
      </c>
      <c r="D139">
        <v>13286</v>
      </c>
      <c r="F139">
        <f>F138+E138-D139</f>
        <v>17357</v>
      </c>
    </row>
    <row r="140">
      <c r="A140">
        <v>129</v>
      </c>
      <c r="B140" t="str">
        <v>22*11*2025</v>
      </c>
      <c r="C140">
        <v>249</v>
      </c>
      <c r="D140">
        <v>12750</v>
      </c>
      <c r="F140">
        <f>F139+E139-D140</f>
        <v>4607</v>
      </c>
    </row>
    <row r="141">
      <c r="A141">
        <v>130</v>
      </c>
      <c r="B141" t="str">
        <v>22*11*2025</v>
      </c>
      <c r="C141" t="str">
        <v>HAMMALI</v>
      </c>
      <c r="D141">
        <v>3100</v>
      </c>
      <c r="F141">
        <f>F140+E140-D141</f>
        <v>1507</v>
      </c>
    </row>
    <row r="142">
      <c r="A142">
        <v>131</v>
      </c>
      <c r="B142" t="str">
        <v>23*11*2025</v>
      </c>
      <c r="C142" t="str">
        <v>FARMER</v>
      </c>
      <c r="D142">
        <v>1000</v>
      </c>
      <c r="F142">
        <f>F141+E141-D142</f>
        <v>507</v>
      </c>
    </row>
    <row r="143">
      <c r="A143">
        <v>132</v>
      </c>
      <c r="E143">
        <v>100000</v>
      </c>
      <c r="F143">
        <f>F142+E142-D143</f>
        <v>507</v>
      </c>
    </row>
    <row r="144">
      <c r="A144">
        <v>133</v>
      </c>
      <c r="B144" t="str">
        <v>24*11*2025</v>
      </c>
      <c r="C144">
        <v>254</v>
      </c>
      <c r="D144">
        <v>60500</v>
      </c>
      <c r="F144">
        <f>F143+E143-D144</f>
        <v>40007</v>
      </c>
    </row>
    <row r="145">
      <c r="A145">
        <v>134</v>
      </c>
      <c r="B145" t="str">
        <v>25*11*2025</v>
      </c>
      <c r="C145">
        <v>266</v>
      </c>
      <c r="D145">
        <v>3000</v>
      </c>
      <c r="F145">
        <f>F144+E144-D145</f>
        <v>37007</v>
      </c>
    </row>
    <row r="146">
      <c r="A146">
        <v>135</v>
      </c>
      <c r="B146" t="str">
        <v>23*11*2025</v>
      </c>
      <c r="C146" t="str">
        <v>HAMMALI</v>
      </c>
      <c r="D146">
        <v>800</v>
      </c>
      <c r="F146">
        <f>F145+E145-D146</f>
        <v>36207</v>
      </c>
    </row>
    <row r="147">
      <c r="A147">
        <v>136</v>
      </c>
      <c r="B147" t="str">
        <v>24*11*2025</v>
      </c>
      <c r="C147" t="str">
        <v>HAMMALI</v>
      </c>
      <c r="D147">
        <v>1800</v>
      </c>
      <c r="F147">
        <f>F146+E146-D147</f>
        <v>34407</v>
      </c>
    </row>
    <row r="148">
      <c r="A148">
        <v>137</v>
      </c>
      <c r="B148" t="str">
        <v>25*11*2025</v>
      </c>
      <c r="C148" t="str">
        <v>HAMMALI</v>
      </c>
      <c r="D148">
        <v>3500</v>
      </c>
      <c r="F148">
        <f>F147+E147-D148</f>
        <v>30907</v>
      </c>
    </row>
    <row r="149">
      <c r="A149">
        <v>138</v>
      </c>
      <c r="B149" t="str">
        <v>26*11*2025</v>
      </c>
      <c r="C149">
        <v>264</v>
      </c>
      <c r="D149">
        <v>13250</v>
      </c>
      <c r="F149">
        <f>F148+E148-D149</f>
        <v>17657</v>
      </c>
    </row>
    <row r="150">
      <c r="A150">
        <v>139</v>
      </c>
      <c r="B150" t="str">
        <v>26*11*2025</v>
      </c>
      <c r="C150">
        <v>262</v>
      </c>
      <c r="D150">
        <v>1000</v>
      </c>
      <c r="F150">
        <f>F149+E149-D150</f>
        <v>16657</v>
      </c>
    </row>
    <row r="151">
      <c r="A151">
        <v>140</v>
      </c>
      <c r="C151" t="str">
        <v>DISEL OLD NEW</v>
      </c>
      <c r="D151">
        <v>1000</v>
      </c>
      <c r="F151">
        <f>F150+E150-D151</f>
        <v>15657</v>
      </c>
    </row>
    <row r="152">
      <c r="A152">
        <v>141</v>
      </c>
      <c r="B152" t="str">
        <v>26*11*2025</v>
      </c>
      <c r="C152" t="str">
        <v>HAMMALI</v>
      </c>
      <c r="D152">
        <v>8610</v>
      </c>
      <c r="F152">
        <f>F151+E151-D152</f>
        <v>7047</v>
      </c>
    </row>
    <row r="153">
      <c r="A153">
        <v>142</v>
      </c>
      <c r="B153" t="str">
        <v>27*11*2025</v>
      </c>
      <c r="C153" t="str">
        <v>HAMMALI</v>
      </c>
      <c r="D153">
        <v>1650</v>
      </c>
      <c r="F153">
        <f>F152+E152-D153</f>
        <v>5397</v>
      </c>
    </row>
    <row r="154">
      <c r="A154">
        <v>143</v>
      </c>
      <c r="B154" t="str">
        <v>28*11*2025</v>
      </c>
      <c r="C154" t="str">
        <v>HAMMALI</v>
      </c>
      <c r="D154">
        <v>800</v>
      </c>
      <c r="F154">
        <f>F153+E153-D154</f>
        <v>4597</v>
      </c>
    </row>
    <row r="155">
      <c r="A155">
        <v>144</v>
      </c>
      <c r="B155" t="str">
        <v>28*11*2025</v>
      </c>
      <c r="C155" t="str">
        <v>HAMMALI</v>
      </c>
      <c r="D155">
        <v>3000</v>
      </c>
      <c r="F155">
        <f>F154+E154-D155</f>
        <v>1597</v>
      </c>
    </row>
    <row r="156">
      <c r="A156">
        <v>145</v>
      </c>
      <c r="C156" t="str">
        <v xml:space="preserve">HARISH   </v>
      </c>
      <c r="D156">
        <v>4000</v>
      </c>
      <c r="F156">
        <f>F155+E155-D156</f>
        <v>-2403</v>
      </c>
    </row>
    <row r="157">
      <c r="A157">
        <v>146</v>
      </c>
      <c r="B157" t="str">
        <v>29*11*2025</v>
      </c>
      <c r="E157">
        <v>30000</v>
      </c>
      <c r="F157">
        <f>F156+E156-D157</f>
        <v>-2403</v>
      </c>
    </row>
    <row r="158">
      <c r="A158">
        <v>147</v>
      </c>
      <c r="B158" t="str">
        <v>29*11*2025</v>
      </c>
      <c r="C158" t="str">
        <v>HAMMALI</v>
      </c>
      <c r="D158">
        <v>4500</v>
      </c>
      <c r="F158">
        <f>F157+E157-D158</f>
        <v>23097</v>
      </c>
    </row>
    <row r="159">
      <c r="A159">
        <v>148</v>
      </c>
      <c r="B159" t="str">
        <v>29*11*2025</v>
      </c>
      <c r="C159" t="str">
        <v>HAMMALI</v>
      </c>
      <c r="D159">
        <v>700</v>
      </c>
      <c r="F159">
        <f>F158+E158-D159</f>
        <v>22397</v>
      </c>
    </row>
    <row r="160">
      <c r="A160">
        <v>149</v>
      </c>
      <c r="B160" t="str">
        <v>29*11*2025</v>
      </c>
      <c r="C160" t="str">
        <v>DESILE</v>
      </c>
      <c r="D160">
        <v>500</v>
      </c>
      <c r="F160">
        <f>F159+E159-D160</f>
        <v>21897</v>
      </c>
    </row>
    <row r="161">
      <c r="A161">
        <v>150</v>
      </c>
      <c r="B161" t="str">
        <v>30*11*2025</v>
      </c>
      <c r="C161">
        <v>282</v>
      </c>
      <c r="D161">
        <v>10000</v>
      </c>
      <c r="F161">
        <f>F160+E160-D161</f>
        <v>11897</v>
      </c>
    </row>
    <row r="162">
      <c r="A162">
        <v>151</v>
      </c>
      <c r="B162" t="str">
        <v>30*11*2025</v>
      </c>
      <c r="C162" t="str">
        <v>HAMMALI</v>
      </c>
      <c r="D162">
        <v>5400</v>
      </c>
      <c r="F162">
        <f>F161+E161-D162</f>
        <v>6497</v>
      </c>
    </row>
    <row r="163">
      <c r="A163">
        <v>152</v>
      </c>
      <c r="B163" t="str">
        <v>01*12*2025</v>
      </c>
      <c r="C163" t="str">
        <v>5 BAGS</v>
      </c>
      <c r="E163">
        <v>6000</v>
      </c>
      <c r="F163">
        <f>F162+E162-D163</f>
        <v>6497</v>
      </c>
    </row>
    <row r="164">
      <c r="A164">
        <v>153</v>
      </c>
      <c r="B164" t="str">
        <v>01*12*2025</v>
      </c>
      <c r="E164">
        <v>100000</v>
      </c>
      <c r="F164">
        <f>F163+E163-D164</f>
        <v>12497</v>
      </c>
    </row>
    <row r="165">
      <c r="A165">
        <v>154</v>
      </c>
      <c r="B165" t="str">
        <v>01*12*2025</v>
      </c>
      <c r="C165">
        <v>277</v>
      </c>
      <c r="D165">
        <v>37700</v>
      </c>
      <c r="F165">
        <f>F164+E164-D165</f>
        <v>74797</v>
      </c>
    </row>
    <row r="166">
      <c r="A166">
        <v>155</v>
      </c>
      <c r="B166" t="str">
        <v>01*12*2025</v>
      </c>
      <c r="C166">
        <v>276</v>
      </c>
      <c r="D166">
        <v>33300</v>
      </c>
      <c r="F166">
        <f>F165+E165-D166</f>
        <v>41497</v>
      </c>
    </row>
    <row r="167">
      <c r="A167">
        <v>156</v>
      </c>
      <c r="B167" t="str">
        <v>01*12*2025</v>
      </c>
      <c r="C167">
        <v>284</v>
      </c>
      <c r="D167">
        <v>16000</v>
      </c>
      <c r="F167">
        <f>F166+E166-D167</f>
        <v>25497</v>
      </c>
    </row>
    <row r="168">
      <c r="A168">
        <v>157</v>
      </c>
      <c r="B168" t="str">
        <v>01*12*2205</v>
      </c>
      <c r="C168">
        <v>280</v>
      </c>
      <c r="D168">
        <v>14300</v>
      </c>
      <c r="F168">
        <f>F167+E167-D168</f>
        <v>11197</v>
      </c>
    </row>
    <row r="169">
      <c r="A169">
        <v>158</v>
      </c>
      <c r="B169" t="str">
        <v>05*12*2025</v>
      </c>
      <c r="E169">
        <v>30000</v>
      </c>
      <c r="F169">
        <f>F168+E168-D169</f>
        <v>11197</v>
      </c>
    </row>
    <row r="170">
      <c r="A170">
        <v>159</v>
      </c>
      <c r="B170" t="str">
        <v>07*12*2025</v>
      </c>
      <c r="C170">
        <v>279</v>
      </c>
      <c r="D170">
        <v>13200</v>
      </c>
      <c r="F170">
        <f>F169+E169-D170</f>
        <v>27997</v>
      </c>
    </row>
    <row r="171">
      <c r="A171">
        <v>160</v>
      </c>
      <c r="B171" t="str">
        <v>08*12*2025</v>
      </c>
      <c r="C171" t="str">
        <v>ROOP</v>
      </c>
      <c r="D171">
        <v>12100</v>
      </c>
      <c r="F171">
        <f>F170+E170-D171</f>
        <v>15897</v>
      </c>
    </row>
    <row r="172">
      <c r="A172">
        <v>161</v>
      </c>
      <c r="B172" t="str">
        <v>07*12*2025</v>
      </c>
      <c r="C172" t="str">
        <v>HAMMALI</v>
      </c>
      <c r="D172">
        <v>2000</v>
      </c>
      <c r="F172">
        <f>F171+E171-D172</f>
        <v>13897</v>
      </c>
    </row>
    <row r="173">
      <c r="A173">
        <v>162</v>
      </c>
      <c r="B173" t="str">
        <v>08*12*2025</v>
      </c>
      <c r="C173" t="str">
        <v>ATM</v>
      </c>
      <c r="E173">
        <v>50000</v>
      </c>
      <c r="F173">
        <f>F172+E172-D173</f>
        <v>13897</v>
      </c>
    </row>
    <row r="174">
      <c r="A174">
        <v>163</v>
      </c>
      <c r="B174" t="str">
        <v>08*12*2025</v>
      </c>
      <c r="C174" t="str">
        <v>HAMMALI</v>
      </c>
      <c r="D174">
        <v>5600</v>
      </c>
      <c r="F174">
        <f>F173+E173-D174</f>
        <v>58297</v>
      </c>
    </row>
    <row r="175">
      <c r="A175">
        <v>164</v>
      </c>
      <c r="B175" t="str">
        <v>10*11*2025</v>
      </c>
      <c r="C175" t="str">
        <v>weight payment</v>
      </c>
      <c r="D175">
        <v>2900</v>
      </c>
      <c r="F175">
        <f>F174+E174-D175</f>
        <v>55397</v>
      </c>
    </row>
    <row r="176">
      <c r="A176">
        <v>165</v>
      </c>
      <c r="B176" t="str">
        <v>10*11*2025</v>
      </c>
      <c r="C176" t="str">
        <v xml:space="preserve">ADVANCE  </v>
      </c>
      <c r="D176">
        <v>20000</v>
      </c>
      <c r="F176">
        <f>F175+E175-D176</f>
        <v>35397</v>
      </c>
    </row>
    <row r="177">
      <c r="A177">
        <v>166</v>
      </c>
      <c r="B177" t="str">
        <v>10*11*2025</v>
      </c>
      <c r="C177" t="str">
        <v xml:space="preserve">ADVANCE  </v>
      </c>
      <c r="D177">
        <v>10000</v>
      </c>
      <c r="F177">
        <f>F176+E176-D177</f>
        <v>25397</v>
      </c>
    </row>
    <row r="178">
      <c r="A178">
        <v>167</v>
      </c>
      <c r="B178" t="str">
        <v>10*11*2025</v>
      </c>
      <c r="C178" t="str">
        <v>183KG</v>
      </c>
      <c r="D178">
        <v>3385</v>
      </c>
      <c r="F178">
        <f>F177+E177-D178</f>
        <v>22012</v>
      </c>
    </row>
    <row r="179">
      <c r="A179">
        <v>168</v>
      </c>
      <c r="B179" t="str">
        <v>10*12*2025</v>
      </c>
      <c r="C179" t="str">
        <v>88KG KNH</v>
      </c>
      <c r="D179">
        <v>1600</v>
      </c>
      <c r="F179">
        <f>F178+E178-D179</f>
        <v>20412</v>
      </c>
    </row>
    <row r="180">
      <c r="A180">
        <v>169</v>
      </c>
      <c r="B180" t="str">
        <v>10*12*2025</v>
      </c>
      <c r="C180" t="str">
        <v>190KG</v>
      </c>
      <c r="D180">
        <v>3500</v>
      </c>
      <c r="F180">
        <f>F179+E179-D180</f>
        <v>16912</v>
      </c>
    </row>
    <row r="181">
      <c r="A181">
        <v>170</v>
      </c>
      <c r="B181" t="str">
        <v>10*12*2025</v>
      </c>
      <c r="C181" t="str">
        <v>HAMMALI</v>
      </c>
      <c r="D181">
        <v>2700</v>
      </c>
      <c r="F181">
        <f>F180+E180-D181</f>
        <v>14212</v>
      </c>
    </row>
    <row r="182">
      <c r="A182">
        <v>171</v>
      </c>
      <c r="B182" t="str">
        <v>11*12*2025</v>
      </c>
      <c r="E182">
        <v>150000</v>
      </c>
      <c r="F182">
        <f>F181+E181-D182</f>
        <v>14212</v>
      </c>
    </row>
    <row r="183">
      <c r="A183">
        <v>172</v>
      </c>
      <c r="B183" t="str">
        <v>11*12*2025</v>
      </c>
      <c r="C183">
        <v>294</v>
      </c>
      <c r="D183">
        <v>100000</v>
      </c>
      <c r="F183">
        <f>F182+E182-D183</f>
        <v>64212</v>
      </c>
    </row>
    <row r="184">
      <c r="A184">
        <v>173</v>
      </c>
      <c r="B184" t="str">
        <v>11*12*2025</v>
      </c>
      <c r="C184">
        <v>296</v>
      </c>
      <c r="D184">
        <v>500</v>
      </c>
      <c r="F184">
        <f>F183+E183-D184</f>
        <v>63712</v>
      </c>
    </row>
    <row r="185">
      <c r="A185">
        <v>174</v>
      </c>
      <c r="B185" t="str">
        <v>12*12*2025</v>
      </c>
      <c r="C185" t="str">
        <v>hammali</v>
      </c>
      <c r="D185">
        <v>14900</v>
      </c>
      <c r="F185">
        <f>F184+E184-D185</f>
        <v>48812</v>
      </c>
    </row>
    <row r="186">
      <c r="A186">
        <v>175</v>
      </c>
      <c r="B186" t="str">
        <v>12*12*2025</v>
      </c>
      <c r="C186">
        <v>306</v>
      </c>
      <c r="D186">
        <v>1000</v>
      </c>
      <c r="F186">
        <f>F185+E185-D186</f>
        <v>47812</v>
      </c>
    </row>
    <row r="187">
      <c r="A187">
        <v>176</v>
      </c>
      <c r="B187" t="str">
        <v>12*12*2025</v>
      </c>
      <c r="C187">
        <v>301</v>
      </c>
      <c r="D187">
        <v>1000</v>
      </c>
      <c r="F187">
        <f>F186+E186-D187</f>
        <v>46812</v>
      </c>
    </row>
    <row r="188">
      <c r="A188">
        <v>177</v>
      </c>
      <c r="B188" t="str">
        <v>12*12*2025</v>
      </c>
      <c r="C188">
        <v>300</v>
      </c>
      <c r="D188">
        <v>500</v>
      </c>
      <c r="F188">
        <f>F187+E187-D188</f>
        <v>46312</v>
      </c>
    </row>
    <row r="189">
      <c r="A189">
        <v>178</v>
      </c>
      <c r="B189" t="str">
        <v>12*12*2025</v>
      </c>
      <c r="C189">
        <v>299</v>
      </c>
      <c r="D189">
        <v>3000</v>
      </c>
      <c r="F189">
        <f>F188+E188-D189</f>
        <v>43312</v>
      </c>
    </row>
    <row r="190">
      <c r="A190">
        <v>179</v>
      </c>
      <c r="B190" t="str">
        <v>12*12*2025</v>
      </c>
      <c r="C190">
        <v>298</v>
      </c>
      <c r="D190">
        <v>3000</v>
      </c>
      <c r="F190">
        <f>F189+E189-D190</f>
        <v>40312</v>
      </c>
    </row>
    <row r="191">
      <c r="A191">
        <v>180</v>
      </c>
      <c r="B191" t="str">
        <v>12*12*2025</v>
      </c>
      <c r="C191" t="str">
        <v>HAMMALI</v>
      </c>
      <c r="D191">
        <v>10000</v>
      </c>
      <c r="F191">
        <f>F190+E190-D191</f>
        <v>30312</v>
      </c>
    </row>
    <row r="192">
      <c r="A192">
        <v>181</v>
      </c>
      <c r="B192" t="str">
        <v>13*12*2025</v>
      </c>
      <c r="E192">
        <v>30000</v>
      </c>
      <c r="F192">
        <f>F191+E191-D192</f>
        <v>30312</v>
      </c>
    </row>
    <row r="193">
      <c r="A193">
        <v>182</v>
      </c>
      <c r="B193" t="str">
        <v>13*12*2025</v>
      </c>
      <c r="C193" t="str">
        <v>HAMMALI</v>
      </c>
      <c r="D193">
        <v>22000</v>
      </c>
      <c r="F193">
        <f>F192+E192-D193</f>
        <v>38312</v>
      </c>
    </row>
    <row r="194">
      <c r="A194">
        <v>183</v>
      </c>
      <c r="B194" t="str">
        <v>14*12*2025</v>
      </c>
      <c r="C194" t="str">
        <v>HAMMALI</v>
      </c>
      <c r="D194">
        <v>10000</v>
      </c>
      <c r="F194">
        <f>F193+E193-D194</f>
        <v>28312</v>
      </c>
    </row>
    <row r="195">
      <c r="A195">
        <v>184</v>
      </c>
      <c r="B195" t="str">
        <v>15*12*2025</v>
      </c>
      <c r="E195">
        <v>80000</v>
      </c>
      <c r="F195">
        <f>F194+E194-D195</f>
        <v>28312</v>
      </c>
    </row>
    <row r="196">
      <c r="A196">
        <v>185</v>
      </c>
      <c r="B196" t="str">
        <v>15*12*2025</v>
      </c>
      <c r="C196">
        <v>295</v>
      </c>
      <c r="D196">
        <v>46000</v>
      </c>
      <c r="F196">
        <f>F195+E195-D196</f>
        <v>62312</v>
      </c>
    </row>
    <row r="197">
      <c r="A197">
        <v>186</v>
      </c>
      <c r="B197" t="str">
        <v>15*12*2025</v>
      </c>
      <c r="C197" t="str">
        <v>HAMMALI</v>
      </c>
      <c r="D197">
        <v>6000</v>
      </c>
      <c r="F197">
        <f>F196+E196-D197</f>
        <v>56312</v>
      </c>
    </row>
    <row r="198">
      <c r="A198">
        <v>187</v>
      </c>
      <c r="B198" t="str">
        <v>17*12*2025</v>
      </c>
      <c r="C198">
        <v>327</v>
      </c>
      <c r="D198">
        <v>42800</v>
      </c>
      <c r="F198">
        <f>F197+E197-D198</f>
        <v>13512</v>
      </c>
    </row>
    <row r="199">
      <c r="A199">
        <v>188</v>
      </c>
      <c r="B199" t="str">
        <v>17*12*2025</v>
      </c>
      <c r="C199">
        <v>292</v>
      </c>
      <c r="D199">
        <v>11000</v>
      </c>
      <c r="F199">
        <f>F198+E198-D199</f>
        <v>2512</v>
      </c>
    </row>
    <row r="200">
      <c r="A200">
        <v>189</v>
      </c>
      <c r="B200" t="str">
        <v>17*12*2025</v>
      </c>
      <c r="E200">
        <v>50000</v>
      </c>
      <c r="F200">
        <f>F199+E199-D200</f>
        <v>2512</v>
      </c>
    </row>
    <row r="201">
      <c r="A201">
        <v>190</v>
      </c>
      <c r="B201" t="str">
        <v>17*12*2025</v>
      </c>
      <c r="C201">
        <v>326</v>
      </c>
      <c r="D201">
        <v>5000</v>
      </c>
      <c r="F201">
        <f>F200+E200-D201</f>
        <v>47512</v>
      </c>
    </row>
    <row r="202">
      <c r="A202">
        <v>191</v>
      </c>
      <c r="B202" t="str">
        <v>16*12*2025</v>
      </c>
      <c r="C202" t="str">
        <v>HAMMALI</v>
      </c>
      <c r="D202">
        <v>4500</v>
      </c>
      <c r="F202">
        <f>F201+E201-D202</f>
        <v>43012</v>
      </c>
    </row>
    <row r="203">
      <c r="A203">
        <v>192</v>
      </c>
      <c r="C203">
        <v>253</v>
      </c>
      <c r="D203">
        <v>4700</v>
      </c>
      <c r="F203">
        <f>F202+E202-D203</f>
        <v>38312</v>
      </c>
    </row>
    <row r="204">
      <c r="A204">
        <v>193</v>
      </c>
      <c r="C204">
        <v>89</v>
      </c>
      <c r="D204">
        <v>1700</v>
      </c>
      <c r="F204">
        <f>F203+E203-D204</f>
        <v>36612</v>
      </c>
    </row>
    <row r="205">
      <c r="A205">
        <v>194</v>
      </c>
      <c r="B205" t="str">
        <v>17*12*2025</v>
      </c>
      <c r="C205" t="str">
        <v>HAMMALI</v>
      </c>
      <c r="D205">
        <v>17100</v>
      </c>
      <c r="F205">
        <f>F204+E204-D205</f>
        <v>19512</v>
      </c>
    </row>
    <row r="206">
      <c r="A206">
        <v>195</v>
      </c>
      <c r="B206" t="str">
        <v>19*12*2025</v>
      </c>
      <c r="E206">
        <v>100000</v>
      </c>
      <c r="F206">
        <f>F205+E205-D206</f>
        <v>19512</v>
      </c>
    </row>
    <row r="207">
      <c r="A207">
        <v>196</v>
      </c>
      <c r="B207" t="str">
        <v>18*12*2025</v>
      </c>
      <c r="C207" t="str">
        <v>HAMMALI</v>
      </c>
      <c r="D207">
        <v>21300</v>
      </c>
      <c r="F207">
        <f>F206+E206-D207</f>
        <v>98212</v>
      </c>
    </row>
    <row r="208">
      <c r="A208">
        <v>197</v>
      </c>
      <c r="B208" t="str">
        <v>19*12*2025</v>
      </c>
      <c r="C208" t="str">
        <v>HAMMALI</v>
      </c>
      <c r="D208">
        <v>12500</v>
      </c>
      <c r="F208">
        <f>F207+E207-D208</f>
        <v>85712</v>
      </c>
    </row>
    <row r="209">
      <c r="A209">
        <v>198</v>
      </c>
      <c r="B209" t="str">
        <v>19*12*2025</v>
      </c>
      <c r="C209">
        <v>342</v>
      </c>
      <c r="D209">
        <v>8200</v>
      </c>
      <c r="F209">
        <f>F208+E208-D209</f>
        <v>77512</v>
      </c>
    </row>
    <row r="210">
      <c r="A210">
        <v>199</v>
      </c>
      <c r="C210">
        <v>337</v>
      </c>
      <c r="D210">
        <v>50200</v>
      </c>
      <c r="F210">
        <f>F209+E209-D210</f>
        <v>27312</v>
      </c>
    </row>
    <row r="211">
      <c r="A211">
        <v>200</v>
      </c>
      <c r="C211">
        <v>333</v>
      </c>
      <c r="D211">
        <v>3500</v>
      </c>
      <c r="F211">
        <f>F210+E210-D211</f>
        <v>23812</v>
      </c>
    </row>
    <row r="212">
      <c r="A212">
        <v>201</v>
      </c>
      <c r="C212">
        <v>314</v>
      </c>
      <c r="D212">
        <v>3000</v>
      </c>
      <c r="F212">
        <f>F211+E211-D212</f>
        <v>20812</v>
      </c>
    </row>
    <row r="213">
      <c r="A213">
        <v>202</v>
      </c>
      <c r="C213" t="str">
        <v>FARMER</v>
      </c>
      <c r="D213">
        <v>7000</v>
      </c>
      <c r="F213">
        <f>F212+E212-D213</f>
        <v>13812</v>
      </c>
    </row>
    <row r="214">
      <c r="A214">
        <v>203</v>
      </c>
      <c r="B214" t="str">
        <v>20*12*2025</v>
      </c>
      <c r="C214">
        <v>9</v>
      </c>
      <c r="D214">
        <v>12500</v>
      </c>
      <c r="F214">
        <f>F213+E213-D214</f>
        <v>1312</v>
      </c>
    </row>
    <row r="215">
      <c r="A215">
        <v>204</v>
      </c>
      <c r="B215" t="str">
        <v>20*12*2025</v>
      </c>
      <c r="E215">
        <v>50000</v>
      </c>
      <c r="F215">
        <f>F214+E214-D215</f>
        <v>1312</v>
      </c>
    </row>
    <row r="216">
      <c r="A216">
        <v>205</v>
      </c>
      <c r="B216" t="str">
        <v>20*12*2025</v>
      </c>
      <c r="C216" t="str">
        <v>HAMMALI</v>
      </c>
      <c r="D216">
        <v>2000</v>
      </c>
      <c r="F216">
        <f>F215+E215-D216</f>
        <v>49312</v>
      </c>
    </row>
    <row r="217">
      <c r="A217">
        <v>206</v>
      </c>
      <c r="C217">
        <v>338</v>
      </c>
      <c r="D217">
        <v>12300</v>
      </c>
      <c r="F217">
        <f>F216+E216-D217</f>
        <v>37012</v>
      </c>
    </row>
    <row r="218">
      <c r="A218">
        <v>207</v>
      </c>
      <c r="C218">
        <v>356</v>
      </c>
      <c r="D218">
        <v>27500</v>
      </c>
      <c r="F218">
        <f>F217+E217-D218</f>
        <v>9512</v>
      </c>
    </row>
    <row r="219">
      <c r="A219">
        <v>208</v>
      </c>
      <c r="B219" t="str">
        <v>21*12*2025</v>
      </c>
      <c r="C219" t="str">
        <v>HAMMALI</v>
      </c>
      <c r="D219">
        <v>7000</v>
      </c>
      <c r="F219">
        <f>F218+E218-D219</f>
        <v>2512</v>
      </c>
    </row>
    <row r="220">
      <c r="A220">
        <v>209</v>
      </c>
      <c r="E220">
        <v>100000</v>
      </c>
      <c r="F220">
        <f>F219+E219-D220</f>
        <v>2512</v>
      </c>
    </row>
    <row r="221">
      <c r="A221">
        <v>210</v>
      </c>
      <c r="B221" t="str">
        <v>22*12*2025</v>
      </c>
      <c r="C221">
        <v>355</v>
      </c>
      <c r="D221">
        <v>54600</v>
      </c>
      <c r="F221">
        <f>F220+E220-D221</f>
        <v>47912</v>
      </c>
    </row>
    <row r="222">
      <c r="A222">
        <v>211</v>
      </c>
      <c r="B222" t="str">
        <v>23*12*2025</v>
      </c>
      <c r="C222" t="str">
        <v>HAMMALI</v>
      </c>
      <c r="D222">
        <v>8500</v>
      </c>
      <c r="F222">
        <f>F221+E221-D222</f>
        <v>39412</v>
      </c>
    </row>
    <row r="223">
      <c r="A223">
        <v>212</v>
      </c>
      <c r="B223" t="str">
        <v>23*12*2025</v>
      </c>
      <c r="C223" t="str">
        <v>HAMMALI</v>
      </c>
      <c r="D223">
        <v>18500</v>
      </c>
      <c r="F223">
        <f>F222+E222-D223</f>
        <v>20912</v>
      </c>
    </row>
    <row r="224">
      <c r="A224">
        <v>213</v>
      </c>
      <c r="B224" t="str">
        <v>23*12*2025</v>
      </c>
      <c r="C224" t="str">
        <v>ADANCE</v>
      </c>
      <c r="D224">
        <v>1000</v>
      </c>
      <c r="F224">
        <f>F223+E223-D224</f>
        <v>19912</v>
      </c>
    </row>
    <row r="225">
      <c r="A225">
        <v>214</v>
      </c>
      <c r="B225" t="str">
        <v>23*12*2025</v>
      </c>
      <c r="C225" t="str">
        <v>365-366-367</v>
      </c>
      <c r="D225">
        <v>3000</v>
      </c>
      <c r="F225">
        <f>F224+E224-D225</f>
        <v>16912</v>
      </c>
    </row>
    <row r="226">
      <c r="A226">
        <v>215</v>
      </c>
      <c r="B226" t="str">
        <v>24*12*2025</v>
      </c>
      <c r="E226">
        <v>100000</v>
      </c>
      <c r="F226">
        <f>F225+E225-D226</f>
        <v>16912</v>
      </c>
    </row>
    <row r="227">
      <c r="A227">
        <v>216</v>
      </c>
      <c r="B227" t="str">
        <v>24*12*2025</v>
      </c>
      <c r="C227">
        <v>368</v>
      </c>
      <c r="D227">
        <v>14500</v>
      </c>
      <c r="F227">
        <f>F226+E226-D227</f>
        <v>102412</v>
      </c>
    </row>
    <row r="228">
      <c r="A228">
        <v>217</v>
      </c>
      <c r="B228" t="str">
        <v>24*12*2025</v>
      </c>
      <c r="C228" t="str">
        <v>HAMMALI</v>
      </c>
      <c r="D228">
        <v>19600</v>
      </c>
      <c r="F228">
        <f>F227+E227-D228</f>
        <v>82812</v>
      </c>
    </row>
    <row r="229">
      <c r="A229">
        <v>218</v>
      </c>
      <c r="B229" t="str">
        <v>25*12*2025</v>
      </c>
      <c r="C229" t="str">
        <v>ADVANCE</v>
      </c>
      <c r="D229">
        <v>50000</v>
      </c>
      <c r="F229">
        <f>F228+E228-D229</f>
        <v>32812</v>
      </c>
    </row>
    <row r="230">
      <c r="A230">
        <v>219</v>
      </c>
      <c r="B230" t="str">
        <v>25*12*2025</v>
      </c>
      <c r="C230" t="str">
        <v>528KG BASANNA</v>
      </c>
      <c r="D230">
        <v>10000</v>
      </c>
      <c r="F230">
        <f>F229+E229-D230</f>
        <v>22812</v>
      </c>
    </row>
    <row r="231">
      <c r="A231">
        <v>220</v>
      </c>
      <c r="B231" t="str">
        <v>25*12*2025</v>
      </c>
      <c r="C231">
        <v>383</v>
      </c>
      <c r="D231">
        <v>9300</v>
      </c>
      <c r="F231">
        <f>F230+E230-D231</f>
        <v>13512</v>
      </c>
    </row>
    <row r="232">
      <c r="A232">
        <v>221</v>
      </c>
      <c r="B232" t="str">
        <v>25*12*2025</v>
      </c>
      <c r="C232" t="str">
        <v>HAMMALI</v>
      </c>
      <c r="D232">
        <v>9000</v>
      </c>
      <c r="F232">
        <f>F231+E231-D232</f>
        <v>4512</v>
      </c>
    </row>
    <row r="233">
      <c r="A233">
        <v>222</v>
      </c>
      <c r="B233" t="str">
        <v>26*12*2025</v>
      </c>
      <c r="E233">
        <v>50000</v>
      </c>
      <c r="F233">
        <f>F232+E232-D233</f>
        <v>4512</v>
      </c>
    </row>
    <row r="234">
      <c r="A234">
        <v>223</v>
      </c>
      <c r="B234" t="str">
        <v>26*12*2025</v>
      </c>
      <c r="C234" t="str">
        <v>FARMER</v>
      </c>
      <c r="D234">
        <v>4000</v>
      </c>
      <c r="F234">
        <f>F233+E233-D234</f>
        <v>50512</v>
      </c>
    </row>
    <row r="235">
      <c r="A235">
        <v>224</v>
      </c>
      <c r="B235" t="str">
        <v>26*12*2025</v>
      </c>
      <c r="C235" t="str">
        <v>HAMMALI</v>
      </c>
      <c r="D235">
        <v>8600</v>
      </c>
      <c r="F235">
        <f>F234+E234-D235</f>
        <v>41912</v>
      </c>
    </row>
    <row r="236">
      <c r="A236">
        <v>225</v>
      </c>
      <c r="B236" t="str">
        <v>27*12*2025</v>
      </c>
      <c r="C236" t="str">
        <v>R/M DONATE</v>
      </c>
      <c r="D236">
        <v>6000</v>
      </c>
      <c r="F236">
        <f>F235+E235-D236</f>
        <v>35912</v>
      </c>
    </row>
    <row r="237">
      <c r="A237">
        <v>226</v>
      </c>
      <c r="B237" t="str">
        <v>27*12*2025</v>
      </c>
      <c r="C237">
        <v>389</v>
      </c>
      <c r="D237">
        <v>16000</v>
      </c>
      <c r="F237">
        <f>F236+E236-D237</f>
        <v>19912</v>
      </c>
    </row>
    <row r="238">
      <c r="A238">
        <v>227</v>
      </c>
      <c r="B238" t="str">
        <v>27*12*2025</v>
      </c>
      <c r="C238" t="str">
        <v>HAMMALI</v>
      </c>
      <c r="D238">
        <v>6200</v>
      </c>
      <c r="F238">
        <f>F237+E237-D238</f>
        <v>13712</v>
      </c>
    </row>
    <row r="239">
      <c r="A239">
        <v>228</v>
      </c>
      <c r="B239" t="str">
        <v>27*12*2025</v>
      </c>
      <c r="C239" t="str">
        <v>FARMER</v>
      </c>
      <c r="D239">
        <v>2200</v>
      </c>
      <c r="F239">
        <f>F238+E238-D239</f>
        <v>11512</v>
      </c>
    </row>
    <row r="240">
      <c r="A240">
        <v>229</v>
      </c>
      <c r="B240" t="str">
        <v>28*12*2025</v>
      </c>
      <c r="E240">
        <v>10000</v>
      </c>
      <c r="F240">
        <f>F239+E239-D240</f>
        <v>11512</v>
      </c>
    </row>
    <row r="241">
      <c r="A241">
        <v>230</v>
      </c>
      <c r="B241" t="str">
        <v>28*12*2025</v>
      </c>
      <c r="C241" t="str">
        <v>HAMMALI</v>
      </c>
      <c r="D241">
        <v>14200</v>
      </c>
      <c r="F241">
        <f>F240+E240-D241</f>
        <v>7312</v>
      </c>
    </row>
    <row r="242">
      <c r="A242">
        <v>231</v>
      </c>
      <c r="C242">
        <v>399</v>
      </c>
      <c r="D242">
        <v>10800</v>
      </c>
      <c r="F242">
        <f>F241+E241-D242</f>
        <v>-3488</v>
      </c>
    </row>
    <row r="243">
      <c r="A243">
        <v>232</v>
      </c>
      <c r="B243" t="str">
        <v>29*12*2025</v>
      </c>
      <c r="C243" t="str">
        <v>HAMMALI</v>
      </c>
      <c r="D243">
        <v>1900</v>
      </c>
      <c r="F243">
        <f>F242+E242-D243</f>
        <v>-5388</v>
      </c>
    </row>
    <row r="244">
      <c r="A244">
        <v>233</v>
      </c>
      <c r="B244" t="str">
        <v>30*12*2025</v>
      </c>
      <c r="E244">
        <v>70000</v>
      </c>
      <c r="F244">
        <f>F243+E243-D244</f>
        <v>-5388</v>
      </c>
    </row>
    <row r="245">
      <c r="A245">
        <v>234</v>
      </c>
      <c r="C245">
        <v>404</v>
      </c>
      <c r="D245">
        <v>27000</v>
      </c>
      <c r="F245">
        <f>F244+E244-D245</f>
        <v>37612</v>
      </c>
    </row>
    <row r="246">
      <c r="A246">
        <v>235</v>
      </c>
      <c r="C246">
        <v>403</v>
      </c>
      <c r="D246">
        <v>8500</v>
      </c>
      <c r="F246">
        <f>F245+E245-D246</f>
        <v>29112</v>
      </c>
    </row>
    <row r="247">
      <c r="A247">
        <v>236</v>
      </c>
      <c r="C247">
        <v>401</v>
      </c>
      <c r="D247">
        <v>4900</v>
      </c>
      <c r="F247">
        <f>F246+E246-D247</f>
        <v>24212</v>
      </c>
    </row>
    <row r="248">
      <c r="A248">
        <v>237</v>
      </c>
      <c r="C248">
        <v>398</v>
      </c>
      <c r="D248">
        <v>10500</v>
      </c>
      <c r="F248">
        <f>F247+E247-D248</f>
        <v>13712</v>
      </c>
    </row>
    <row r="249">
      <c r="A249">
        <v>238</v>
      </c>
      <c r="B249" t="str">
        <v>30*12*2025</v>
      </c>
      <c r="C249" t="str">
        <v>HAMMALI</v>
      </c>
      <c r="D249">
        <v>12300</v>
      </c>
      <c r="F249">
        <f>F248+E248-D249</f>
        <v>1412</v>
      </c>
    </row>
    <row r="250">
      <c r="A250">
        <v>239</v>
      </c>
      <c r="B250" t="str">
        <v>01*01*2025</v>
      </c>
      <c r="E250">
        <v>20000</v>
      </c>
      <c r="F250">
        <f>F249+E249-D250</f>
        <v>1412</v>
      </c>
    </row>
    <row r="251">
      <c r="A251">
        <v>240</v>
      </c>
      <c r="B251" t="str">
        <v>01*01*2025</v>
      </c>
      <c r="C251" t="str">
        <v>HAMMALI</v>
      </c>
      <c r="D251">
        <v>7600</v>
      </c>
      <c r="F251">
        <f>F250+E250-D251</f>
        <v>13812</v>
      </c>
    </row>
    <row r="252">
      <c r="A252">
        <v>241</v>
      </c>
      <c r="C252" t="str">
        <v>90 KG</v>
      </c>
      <c r="D252">
        <v>1500</v>
      </c>
      <c r="F252">
        <f>F251+E251-D252</f>
        <v>12312</v>
      </c>
    </row>
    <row r="253">
      <c r="A253">
        <v>242</v>
      </c>
      <c r="B253" t="str">
        <v>04*01*2025</v>
      </c>
      <c r="C253" t="str">
        <v>HAMMALI</v>
      </c>
      <c r="D253">
        <v>1600</v>
      </c>
      <c r="F253">
        <f>F252+E252-D253</f>
        <v>10712</v>
      </c>
    </row>
    <row r="254">
      <c r="A254">
        <v>243</v>
      </c>
      <c r="E254">
        <v>150000</v>
      </c>
      <c r="F254">
        <f>F253+E253-D254</f>
        <v>10712</v>
      </c>
    </row>
    <row r="255">
      <c r="A255">
        <v>244</v>
      </c>
      <c r="B255" t="str">
        <v>05*01*2026</v>
      </c>
      <c r="C255">
        <v>407</v>
      </c>
      <c r="D255">
        <v>44100</v>
      </c>
      <c r="F255">
        <f>F254+E254-D255</f>
        <v>116612</v>
      </c>
    </row>
    <row r="256">
      <c r="A256">
        <v>245</v>
      </c>
      <c r="B256" t="str">
        <v>05*01*2026</v>
      </c>
      <c r="C256">
        <v>330</v>
      </c>
      <c r="D256">
        <v>23800</v>
      </c>
      <c r="F256">
        <f>F255+E255-D256</f>
        <v>92812</v>
      </c>
    </row>
    <row r="257">
      <c r="A257">
        <v>246</v>
      </c>
      <c r="B257" t="str">
        <v>06*01*2026</v>
      </c>
      <c r="C257" t="str">
        <v>KITTI</v>
      </c>
      <c r="E257">
        <v>50000</v>
      </c>
      <c r="F257">
        <f>F256+E256-D257</f>
        <v>92812</v>
      </c>
    </row>
    <row r="258">
      <c r="A258">
        <v>247</v>
      </c>
      <c r="B258" t="str">
        <v>06*01*2026</v>
      </c>
      <c r="C258">
        <v>411</v>
      </c>
      <c r="D258">
        <v>20757</v>
      </c>
      <c r="F258">
        <f>F257+E257-D258</f>
        <v>122055</v>
      </c>
    </row>
    <row r="259">
      <c r="A259">
        <v>248</v>
      </c>
      <c r="B259" t="str">
        <v>06*01*2026</v>
      </c>
      <c r="C259">
        <v>412</v>
      </c>
      <c r="D259">
        <v>34221</v>
      </c>
      <c r="F259">
        <f>F258+E258-D259</f>
        <v>87834</v>
      </c>
    </row>
    <row r="260">
      <c r="A260">
        <v>249</v>
      </c>
      <c r="B260" t="str">
        <v>06*01*2026</v>
      </c>
      <c r="C260">
        <v>414</v>
      </c>
      <c r="D260">
        <v>20294</v>
      </c>
      <c r="F260">
        <f>F259+E259-D260</f>
        <v>67540</v>
      </c>
    </row>
    <row r="261">
      <c r="A261">
        <v>250</v>
      </c>
      <c r="B261" t="str">
        <v>06*01*2026</v>
      </c>
      <c r="C261" t="str">
        <v>hAMMALI</v>
      </c>
      <c r="D261">
        <v>6500</v>
      </c>
      <c r="F261">
        <f>F260+E260-D261</f>
        <v>61040</v>
      </c>
    </row>
    <row r="262">
      <c r="A262">
        <v>251</v>
      </c>
      <c r="B262" t="str">
        <v>06*01*2026</v>
      </c>
      <c r="C262" t="str">
        <v>hAMMALI</v>
      </c>
      <c r="D262">
        <v>2000</v>
      </c>
      <c r="F262">
        <f>F261+E261-D262</f>
        <v>59040</v>
      </c>
    </row>
    <row r="263">
      <c r="A263">
        <v>252</v>
      </c>
      <c r="B263" t="str">
        <v>07*01*2026</v>
      </c>
      <c r="C263" t="str">
        <v>hAMMALI</v>
      </c>
      <c r="D263">
        <v>5800</v>
      </c>
      <c r="F263">
        <f>F262+E262-D263</f>
        <v>53240</v>
      </c>
    </row>
    <row r="264">
      <c r="A264">
        <v>253</v>
      </c>
      <c r="C264" t="str">
        <v>M HALESH ADV</v>
      </c>
      <c r="D264">
        <v>10000</v>
      </c>
      <c r="F264">
        <f>F263+E263-D264</f>
        <v>43240</v>
      </c>
    </row>
    <row r="265">
      <c r="A265">
        <v>254</v>
      </c>
      <c r="B265" t="str">
        <v>08*01*2026</v>
      </c>
      <c r="C265" t="str">
        <v>HAMMALI</v>
      </c>
      <c r="D265">
        <v>6300</v>
      </c>
      <c r="F265">
        <f>F264+E264-D265</f>
        <v>36940</v>
      </c>
    </row>
    <row r="266">
      <c r="A266">
        <v>255</v>
      </c>
      <c r="B266" t="str">
        <v>09*01*2026</v>
      </c>
      <c r="C266" t="str">
        <v>hAMMALI</v>
      </c>
      <c r="D266">
        <v>5200</v>
      </c>
      <c r="F266">
        <f>F265+E265-D266</f>
        <v>31740</v>
      </c>
    </row>
    <row r="267">
      <c r="A267">
        <v>256</v>
      </c>
      <c r="B267" t="str">
        <v>10*01*2026</v>
      </c>
      <c r="C267" t="str">
        <v>HAMMALI</v>
      </c>
      <c r="D267">
        <v>8000</v>
      </c>
      <c r="F267">
        <f>F266+E266-D267</f>
        <v>23740</v>
      </c>
    </row>
    <row r="268">
      <c r="A268">
        <v>257</v>
      </c>
      <c r="B268" t="str">
        <v>07*01*2026</v>
      </c>
      <c r="C268" t="str">
        <v>manju hammali</v>
      </c>
      <c r="D268">
        <v>1400</v>
      </c>
      <c r="F268">
        <f>F267+E267-D268</f>
        <v>22340</v>
      </c>
    </row>
    <row r="269">
      <c r="A269">
        <v>258</v>
      </c>
      <c r="B269" t="str">
        <v>11*01*2026</v>
      </c>
      <c r="C269" t="str">
        <v>HAMMALI</v>
      </c>
      <c r="D269">
        <v>3300</v>
      </c>
      <c r="F269">
        <f>F268+E268-D269</f>
        <v>19040</v>
      </c>
    </row>
    <row r="270">
      <c r="A270">
        <v>259</v>
      </c>
      <c r="B270" t="str">
        <v>13*01*2026</v>
      </c>
      <c r="C270">
        <v>419</v>
      </c>
      <c r="D270">
        <v>10200</v>
      </c>
      <c r="F270">
        <f>F269+E269-D270</f>
        <v>8840</v>
      </c>
    </row>
    <row r="271">
      <c r="A271">
        <v>260</v>
      </c>
      <c r="B271" t="str">
        <v>14*01*2026</v>
      </c>
      <c r="E271">
        <v>60000</v>
      </c>
      <c r="F271">
        <f>F270+E270-D271</f>
        <v>8840</v>
      </c>
    </row>
    <row r="272">
      <c r="A272">
        <v>261</v>
      </c>
      <c r="B272" t="str">
        <v>14*01*2026</v>
      </c>
      <c r="C272">
        <v>429</v>
      </c>
      <c r="D272">
        <v>2000</v>
      </c>
      <c r="F272">
        <f>F271+E271-D272</f>
        <v>66840</v>
      </c>
    </row>
    <row r="273">
      <c r="A273">
        <v>262</v>
      </c>
      <c r="B273" t="str">
        <v>14*01*2026</v>
      </c>
      <c r="C273">
        <v>427</v>
      </c>
      <c r="D273">
        <v>35237</v>
      </c>
      <c r="F273">
        <f>F272+E272-D273</f>
        <v>31603</v>
      </c>
    </row>
    <row r="274">
      <c r="A274">
        <v>263</v>
      </c>
      <c r="B274" t="str">
        <v>14*01*2026</v>
      </c>
      <c r="C274">
        <v>424</v>
      </c>
      <c r="D274">
        <v>17500</v>
      </c>
      <c r="F274">
        <f>F273+E273-D274</f>
        <v>14103</v>
      </c>
    </row>
    <row r="275">
      <c r="A275">
        <v>264</v>
      </c>
      <c r="B275" t="str">
        <v>14*01*2026</v>
      </c>
      <c r="C275">
        <v>418</v>
      </c>
      <c r="D275">
        <v>6000</v>
      </c>
      <c r="F275">
        <f>F274+E274-D275</f>
        <v>8103</v>
      </c>
    </row>
    <row r="276">
      <c r="A276">
        <v>265</v>
      </c>
      <c r="B276" t="str">
        <v>13*01*2026</v>
      </c>
      <c r="C276" t="str">
        <v>hAMMALI</v>
      </c>
      <c r="D276">
        <v>3200</v>
      </c>
      <c r="F276">
        <f>F275+E275-D276</f>
        <v>4903</v>
      </c>
    </row>
    <row r="277">
      <c r="A277">
        <v>266</v>
      </c>
      <c r="B277" t="str">
        <v>15*01*2026</v>
      </c>
      <c r="C277" t="str">
        <v>HAMMALI</v>
      </c>
      <c r="D277">
        <v>3500</v>
      </c>
      <c r="F277">
        <f>F276+E276-D277</f>
        <v>1403</v>
      </c>
    </row>
    <row r="278">
      <c r="A278">
        <v>267</v>
      </c>
      <c r="B278" t="str">
        <v>16*01*2025</v>
      </c>
      <c r="E278">
        <v>30000</v>
      </c>
      <c r="F278">
        <f>F277+E277-D278</f>
        <v>1403</v>
      </c>
    </row>
    <row r="279">
      <c r="A279">
        <v>268</v>
      </c>
      <c r="B279" t="str">
        <v>16*01*2025</v>
      </c>
      <c r="C279">
        <v>432</v>
      </c>
      <c r="D279">
        <v>15600</v>
      </c>
      <c r="F279">
        <f>F278+E278-D279</f>
        <v>15803</v>
      </c>
    </row>
    <row r="280">
      <c r="A280">
        <v>269</v>
      </c>
      <c r="B280" t="str">
        <v>16*01*2025</v>
      </c>
      <c r="C280" t="str">
        <v>HAMMALI</v>
      </c>
      <c r="D280">
        <v>3000</v>
      </c>
      <c r="F280">
        <f>F279+E279-D280</f>
        <v>12803</v>
      </c>
    </row>
    <row r="281">
      <c r="A281">
        <v>270</v>
      </c>
      <c r="B281" t="str">
        <v>17*01*2025</v>
      </c>
      <c r="C281" t="str">
        <v>HAMMALI</v>
      </c>
      <c r="D281">
        <v>7800</v>
      </c>
      <c r="F281">
        <f>F280+E280-D281</f>
        <v>5003</v>
      </c>
    </row>
    <row r="282">
      <c r="A282">
        <v>271</v>
      </c>
      <c r="B282" t="str">
        <v>18*01*2025</v>
      </c>
      <c r="E282">
        <v>30000</v>
      </c>
      <c r="F282">
        <f>F281+E281-D282</f>
        <v>5003</v>
      </c>
    </row>
    <row r="283">
      <c r="A283">
        <v>272</v>
      </c>
      <c r="C283" t="str">
        <v>CESS</v>
      </c>
      <c r="E283">
        <v>3200</v>
      </c>
      <c r="F283">
        <f>F282+E282-D283</f>
        <v>35003</v>
      </c>
    </row>
    <row r="284">
      <c r="A284">
        <v>273</v>
      </c>
      <c r="B284" t="str">
        <v>19*01*2026</v>
      </c>
      <c r="C284">
        <v>440</v>
      </c>
      <c r="D284">
        <v>5000</v>
      </c>
      <c r="F284">
        <f>F283+E283-D284</f>
        <v>33203</v>
      </c>
    </row>
    <row r="285">
      <c r="A285">
        <v>274</v>
      </c>
      <c r="B285" t="str">
        <v>19*01*2026</v>
      </c>
      <c r="C285">
        <v>443</v>
      </c>
      <c r="D285">
        <v>1000</v>
      </c>
      <c r="F285">
        <f>F284+E284-D285</f>
        <v>32203</v>
      </c>
    </row>
    <row r="286">
      <c r="A286">
        <v>275</v>
      </c>
      <c r="B286" t="str">
        <v>18*01*2026</v>
      </c>
      <c r="C286" t="str">
        <v>HAMMALI</v>
      </c>
      <c r="D286">
        <v>6300</v>
      </c>
      <c r="F286">
        <f>F285+E285-D286</f>
        <v>25903</v>
      </c>
    </row>
    <row r="287">
      <c r="A287">
        <v>276</v>
      </c>
      <c r="B287" t="str">
        <v>19*01*2026</v>
      </c>
      <c r="C287" t="str">
        <v>HAMMALI</v>
      </c>
      <c r="D287">
        <v>14600</v>
      </c>
      <c r="F287">
        <f>F286+E286-D287</f>
        <v>11303</v>
      </c>
    </row>
    <row r="288">
      <c r="A288">
        <v>277</v>
      </c>
      <c r="B288" t="str">
        <v>20*01*2026</v>
      </c>
      <c r="C288" t="str">
        <v>hAMMALI</v>
      </c>
      <c r="D288">
        <v>3800</v>
      </c>
      <c r="F288">
        <f>F287+E287-D288</f>
        <v>7503</v>
      </c>
    </row>
    <row r="289">
      <c r="A289">
        <v>278</v>
      </c>
      <c r="B289" t="str">
        <v>20*01*2026</v>
      </c>
      <c r="C289">
        <v>445</v>
      </c>
      <c r="D289">
        <v>2000</v>
      </c>
      <c r="F289">
        <f>F288+E288-D289</f>
        <v>5503</v>
      </c>
    </row>
    <row r="290">
      <c r="A290">
        <v>279</v>
      </c>
      <c r="E290">
        <v>20000</v>
      </c>
      <c r="F290">
        <f>F289+E289-D290</f>
        <v>5503</v>
      </c>
    </row>
    <row r="291">
      <c r="A291">
        <v>280</v>
      </c>
      <c r="B291" t="str">
        <v>21*01*2026</v>
      </c>
      <c r="C291" t="str">
        <v>HAMMALI</v>
      </c>
      <c r="D291">
        <v>12700</v>
      </c>
      <c r="F291">
        <f>F290+E290-D291</f>
        <v>12803</v>
      </c>
    </row>
    <row r="292">
      <c r="A292">
        <v>281</v>
      </c>
      <c r="C292" t="str">
        <v>FARMER</v>
      </c>
      <c r="D292">
        <v>1300</v>
      </c>
      <c r="F292">
        <f>F291+E291-D292</f>
        <v>11503</v>
      </c>
    </row>
    <row r="293">
      <c r="A293">
        <v>282</v>
      </c>
      <c r="B293" t="str">
        <v>22*01*2026</v>
      </c>
      <c r="C293" t="str">
        <v>HAMMALI</v>
      </c>
      <c r="D293">
        <v>11700</v>
      </c>
      <c r="F293">
        <f>F292+E292-D293</f>
        <v>-197</v>
      </c>
    </row>
    <row r="294">
      <c r="A294">
        <v>283</v>
      </c>
      <c r="B294" t="str">
        <v>23*01*2026</v>
      </c>
      <c r="E294">
        <v>15000</v>
      </c>
      <c r="F294">
        <f>F293+E293-D294</f>
        <v>-197</v>
      </c>
    </row>
    <row r="295">
      <c r="A295">
        <v>284</v>
      </c>
      <c r="B295" t="str">
        <v>23*01*2026</v>
      </c>
      <c r="C295" t="str">
        <v>HAMMALI</v>
      </c>
      <c r="D295">
        <v>9100</v>
      </c>
      <c r="F295">
        <f>F294+E294-D295</f>
        <v>5703</v>
      </c>
    </row>
    <row r="296">
      <c r="A296">
        <v>285</v>
      </c>
      <c r="B296" t="str">
        <v>24*01*2026</v>
      </c>
      <c r="E296">
        <v>50000</v>
      </c>
      <c r="F296">
        <f>F295+E295-D296</f>
        <v>5703</v>
      </c>
    </row>
    <row r="297">
      <c r="A297">
        <v>286</v>
      </c>
      <c r="B297" t="str">
        <v>24*01*2026</v>
      </c>
      <c r="C297">
        <v>456</v>
      </c>
      <c r="D297">
        <v>10000</v>
      </c>
      <c r="F297">
        <f>F296+E296-D297</f>
        <v>45703</v>
      </c>
    </row>
    <row r="298">
      <c r="A298">
        <v>287</v>
      </c>
      <c r="B298" t="str">
        <v>24*01*2026</v>
      </c>
      <c r="C298" t="str">
        <v>FARMER</v>
      </c>
      <c r="D298">
        <v>2500</v>
      </c>
      <c r="F298">
        <f>F297+E297-D298</f>
        <v>43203</v>
      </c>
    </row>
    <row r="299">
      <c r="A299">
        <v>288</v>
      </c>
      <c r="B299" t="str">
        <v>24*01*2026</v>
      </c>
      <c r="C299" t="str">
        <v>HAMMALI</v>
      </c>
      <c r="D299">
        <v>12200</v>
      </c>
      <c r="F299">
        <f>F298+E298-D299</f>
        <v>31003</v>
      </c>
    </row>
    <row r="300">
      <c r="A300">
        <v>289</v>
      </c>
      <c r="B300" t="str">
        <v>25*01*2026</v>
      </c>
      <c r="C300" t="str">
        <v>HAMMALI</v>
      </c>
      <c r="D300">
        <v>20300</v>
      </c>
      <c r="F300">
        <f>F299+E299-D300</f>
        <v>10703</v>
      </c>
    </row>
    <row r="301">
      <c r="A301">
        <v>290</v>
      </c>
      <c r="B301" t="str">
        <v>25*01*2026</v>
      </c>
      <c r="C301" t="str">
        <v>FARMER</v>
      </c>
      <c r="D301">
        <v>1000</v>
      </c>
      <c r="F301">
        <f>F300+E300-D301</f>
        <v>9703</v>
      </c>
    </row>
    <row r="302">
      <c r="A302">
        <v>291</v>
      </c>
      <c r="E302">
        <v>50000</v>
      </c>
      <c r="F302">
        <f>F301+E301-D302</f>
        <v>9703</v>
      </c>
    </row>
    <row r="303">
      <c r="A303">
        <v>292</v>
      </c>
      <c r="C303">
        <v>459</v>
      </c>
      <c r="D303">
        <v>10000</v>
      </c>
      <c r="F303">
        <f>F302+E302-D303</f>
        <v>49703</v>
      </c>
    </row>
    <row r="304">
      <c r="A304">
        <v>293</v>
      </c>
      <c r="C304">
        <v>478</v>
      </c>
      <c r="D304">
        <v>3500</v>
      </c>
      <c r="F304">
        <f>F303+E303-D304</f>
        <v>46203</v>
      </c>
    </row>
    <row r="305">
      <c r="A305">
        <v>294</v>
      </c>
      <c r="B305" t="str">
        <v>28*01*2026</v>
      </c>
      <c r="C305" t="str">
        <v>PRAMESH</v>
      </c>
      <c r="D305">
        <v>5000</v>
      </c>
      <c r="F305">
        <f>F304+E304-D305</f>
        <v>41203</v>
      </c>
    </row>
    <row r="306">
      <c r="A306">
        <v>295</v>
      </c>
      <c r="B306" t="str">
        <v>25*01*2026</v>
      </c>
      <c r="C306" t="str">
        <v>CKM</v>
      </c>
      <c r="E306">
        <v>1500000</v>
      </c>
      <c r="F306">
        <f>F305+E305-D306</f>
        <v>41203</v>
      </c>
    </row>
    <row r="307">
      <c r="A307">
        <v>296</v>
      </c>
      <c r="C307">
        <v>448</v>
      </c>
      <c r="D307">
        <v>154000</v>
      </c>
      <c r="F307">
        <f>F306+E306-D307</f>
        <v>1387203</v>
      </c>
    </row>
    <row r="308">
      <c r="A308">
        <v>297</v>
      </c>
      <c r="C308">
        <v>462</v>
      </c>
      <c r="D308">
        <v>48900</v>
      </c>
      <c r="F308">
        <f>F307+E307-D308</f>
        <v>1338303</v>
      </c>
    </row>
    <row r="309">
      <c r="A309">
        <v>298</v>
      </c>
      <c r="C309">
        <v>461</v>
      </c>
      <c r="D309">
        <v>76600</v>
      </c>
      <c r="F309">
        <f>F308+E308-D309</f>
        <v>1261703</v>
      </c>
    </row>
    <row r="310">
      <c r="A310">
        <v>299</v>
      </c>
      <c r="C310">
        <v>463</v>
      </c>
      <c r="D310">
        <v>50000</v>
      </c>
      <c r="F310">
        <f>F309+E309-D310</f>
        <v>1211703</v>
      </c>
    </row>
    <row r="311">
      <c r="A311">
        <v>300</v>
      </c>
      <c r="C311">
        <v>464</v>
      </c>
      <c r="D311">
        <v>40700</v>
      </c>
      <c r="F311">
        <f>F310+E310-D311</f>
        <v>1171003</v>
      </c>
    </row>
    <row r="312">
      <c r="A312">
        <v>301</v>
      </c>
      <c r="C312">
        <v>465</v>
      </c>
      <c r="D312">
        <v>18300</v>
      </c>
      <c r="F312">
        <f>F311+E311-D312</f>
        <v>1152703</v>
      </c>
    </row>
    <row r="313">
      <c r="A313">
        <v>302</v>
      </c>
      <c r="C313">
        <v>458</v>
      </c>
      <c r="D313">
        <v>131800</v>
      </c>
      <c r="F313">
        <f>F312+E312-D313</f>
        <v>1020903</v>
      </c>
    </row>
    <row r="314">
      <c r="A314">
        <v>303</v>
      </c>
      <c r="C314">
        <v>454</v>
      </c>
      <c r="D314">
        <v>98800</v>
      </c>
      <c r="F314">
        <f>F313+E313-D314</f>
        <v>922103</v>
      </c>
    </row>
    <row r="315">
      <c r="A315">
        <v>304</v>
      </c>
      <c r="C315">
        <v>456</v>
      </c>
      <c r="D315">
        <v>449200</v>
      </c>
      <c r="F315">
        <f>F314+E314-D315</f>
        <v>472903</v>
      </c>
    </row>
    <row r="316">
      <c r="A316">
        <v>305</v>
      </c>
      <c r="C316">
        <v>466</v>
      </c>
      <c r="D316">
        <v>62700</v>
      </c>
      <c r="F316">
        <f>F315+E315-D316</f>
        <v>410203</v>
      </c>
    </row>
    <row r="317">
      <c r="A317">
        <v>306</v>
      </c>
      <c r="C317">
        <v>467</v>
      </c>
      <c r="D317">
        <v>32300</v>
      </c>
      <c r="F317">
        <f>F316+E316-D317</f>
        <v>377903</v>
      </c>
    </row>
    <row r="318">
      <c r="A318">
        <v>307</v>
      </c>
      <c r="C318">
        <v>469</v>
      </c>
      <c r="D318">
        <v>16000</v>
      </c>
      <c r="F318">
        <f>F317+E317-D318</f>
        <v>361903</v>
      </c>
    </row>
    <row r="319">
      <c r="A319">
        <v>308</v>
      </c>
      <c r="C319">
        <v>471</v>
      </c>
      <c r="D319">
        <v>18500</v>
      </c>
      <c r="F319">
        <f>F318+E318-D319</f>
        <v>343403</v>
      </c>
    </row>
    <row r="320">
      <c r="A320">
        <v>309</v>
      </c>
      <c r="C320">
        <v>442</v>
      </c>
      <c r="D320">
        <v>94000</v>
      </c>
      <c r="F320">
        <f>F319+E319-D320</f>
        <v>249403</v>
      </c>
    </row>
    <row r="321">
      <c r="A321">
        <v>310</v>
      </c>
      <c r="C321">
        <v>417</v>
      </c>
      <c r="D321">
        <v>87300</v>
      </c>
      <c r="F321">
        <f>F320+E320-D321</f>
        <v>162103</v>
      </c>
    </row>
    <row r="322">
      <c r="A322">
        <v>311</v>
      </c>
      <c r="C322">
        <v>331</v>
      </c>
      <c r="D322">
        <v>100000</v>
      </c>
      <c r="F322">
        <f>F321+E321-D322</f>
        <v>62103</v>
      </c>
    </row>
    <row r="323">
      <c r="A323">
        <v>312</v>
      </c>
      <c r="B323" t="str">
        <v>26*01*2026</v>
      </c>
      <c r="C323" t="str">
        <v>HAMMALI</v>
      </c>
      <c r="D323">
        <v>23400</v>
      </c>
      <c r="F323">
        <f>F322+E322-D323</f>
        <v>38703</v>
      </c>
    </row>
    <row r="324">
      <c r="A324">
        <v>313</v>
      </c>
      <c r="C324" t="str">
        <v xml:space="preserve">CASH  </v>
      </c>
      <c r="E324">
        <v>1050000</v>
      </c>
      <c r="F324">
        <f>F323+E323-D324</f>
        <v>38703</v>
      </c>
    </row>
    <row r="325">
      <c r="A325">
        <v>314</v>
      </c>
      <c r="C325" t="str">
        <v xml:space="preserve">CASH  </v>
      </c>
      <c r="E325">
        <v>500000</v>
      </c>
      <c r="F325">
        <f>F324+E324-D325</f>
        <v>1088703</v>
      </c>
    </row>
    <row r="326">
      <c r="A326">
        <v>315</v>
      </c>
      <c r="C326" t="str">
        <v>SIDDANNA</v>
      </c>
      <c r="D326">
        <v>500000</v>
      </c>
      <c r="F326">
        <f>F325+E325-D326</f>
        <v>1088703</v>
      </c>
    </row>
    <row r="327">
      <c r="A327">
        <v>316</v>
      </c>
      <c r="C327" t="str">
        <v>H\482</v>
      </c>
      <c r="D327">
        <v>52300</v>
      </c>
      <c r="F327">
        <f>F326+E326-D327</f>
        <v>1036403</v>
      </c>
    </row>
    <row r="328">
      <c r="A328">
        <v>317</v>
      </c>
      <c r="C328">
        <v>453</v>
      </c>
      <c r="D328">
        <v>93000</v>
      </c>
      <c r="F328">
        <f>F327+E327-D328</f>
        <v>943403</v>
      </c>
    </row>
    <row r="329">
      <c r="A329">
        <v>318</v>
      </c>
      <c r="C329">
        <v>455</v>
      </c>
      <c r="D329">
        <v>95500</v>
      </c>
      <c r="F329">
        <f>F328+E328-D329</f>
        <v>847903</v>
      </c>
    </row>
    <row r="330">
      <c r="A330">
        <v>319</v>
      </c>
      <c r="C330">
        <v>459</v>
      </c>
      <c r="D330">
        <v>59400</v>
      </c>
      <c r="F330">
        <f>F329+E329-D330</f>
        <v>788503</v>
      </c>
    </row>
    <row r="331">
      <c r="A331">
        <v>320</v>
      </c>
      <c r="C331">
        <v>332</v>
      </c>
      <c r="D331">
        <v>50000</v>
      </c>
      <c r="F331">
        <f>F330+E330-D331</f>
        <v>738503</v>
      </c>
    </row>
    <row r="332">
      <c r="A332">
        <v>321</v>
      </c>
      <c r="C332">
        <v>481</v>
      </c>
      <c r="D332">
        <v>28000</v>
      </c>
      <c r="F332">
        <f>F331+E331-D332</f>
        <v>710503</v>
      </c>
    </row>
    <row r="333">
      <c r="A333">
        <v>322</v>
      </c>
      <c r="C333">
        <v>478</v>
      </c>
      <c r="D333">
        <v>20000</v>
      </c>
      <c r="F333">
        <f>F332+E332-D333</f>
        <v>690503</v>
      </c>
    </row>
    <row r="334">
      <c r="A334">
        <v>323</v>
      </c>
      <c r="C334">
        <v>16</v>
      </c>
      <c r="D334">
        <v>440600</v>
      </c>
      <c r="F334">
        <f>F333+E333-D334</f>
        <v>249903</v>
      </c>
    </row>
    <row r="335">
      <c r="A335">
        <v>324</v>
      </c>
      <c r="C335">
        <v>484</v>
      </c>
      <c r="D335">
        <v>3300</v>
      </c>
      <c r="F335">
        <f>F334+E334-D335</f>
        <v>246603</v>
      </c>
    </row>
    <row r="336">
      <c r="A336">
        <v>325</v>
      </c>
      <c r="C336">
        <v>483</v>
      </c>
      <c r="D336">
        <v>10000</v>
      </c>
      <c r="F336">
        <f>F335+E335-D336</f>
        <v>236603</v>
      </c>
    </row>
    <row r="337">
      <c r="A337">
        <v>326</v>
      </c>
      <c r="C337">
        <v>474</v>
      </c>
      <c r="D337">
        <v>104800</v>
      </c>
      <c r="F337">
        <f>F336+E336-D337</f>
        <v>131803</v>
      </c>
    </row>
    <row r="338">
      <c r="A338">
        <v>327</v>
      </c>
      <c r="B338" t="str">
        <v>28*01*2026</v>
      </c>
      <c r="C338" t="str">
        <v>HAMMALI</v>
      </c>
      <c r="D338">
        <v>16707</v>
      </c>
      <c r="F338">
        <f>F337+E337-D338</f>
        <v>115096</v>
      </c>
    </row>
    <row r="339">
      <c r="A339">
        <v>328</v>
      </c>
      <c r="B339" t="str">
        <v>28*01*2026</v>
      </c>
      <c r="C339">
        <v>488</v>
      </c>
      <c r="D339">
        <v>11300</v>
      </c>
      <c r="F339">
        <f>F338+E338-D339</f>
        <v>103796</v>
      </c>
    </row>
    <row r="340">
      <c r="A340">
        <v>329</v>
      </c>
      <c r="B340" t="str">
        <v>28*01*2026</v>
      </c>
      <c r="C340" t="str">
        <v>FARMER</v>
      </c>
      <c r="D340">
        <v>6000</v>
      </c>
      <c r="F340">
        <f>F339+E339-D340</f>
        <v>97796</v>
      </c>
    </row>
    <row r="341">
      <c r="A341">
        <v>330</v>
      </c>
      <c r="B341" t="str">
        <v>28*01*2026</v>
      </c>
      <c r="C341" t="str">
        <v>weight payment</v>
      </c>
      <c r="D341">
        <v>5000</v>
      </c>
      <c r="F341">
        <f>F340+E340-D341</f>
        <v>92796</v>
      </c>
    </row>
    <row r="342">
      <c r="A342">
        <v>331</v>
      </c>
      <c r="B342" t="str">
        <v>28*01*2026</v>
      </c>
      <c r="C342">
        <v>457</v>
      </c>
      <c r="D342">
        <v>54300</v>
      </c>
      <c r="F342">
        <f>F341+E341-D342</f>
        <v>38496</v>
      </c>
    </row>
    <row r="343">
      <c r="A343">
        <v>332</v>
      </c>
      <c r="B343" t="str">
        <v>28*01*2026</v>
      </c>
      <c r="C343" t="str">
        <v>HAMMALI</v>
      </c>
      <c r="D343">
        <v>18100</v>
      </c>
      <c r="F343">
        <f>F342+E342-D343</f>
        <v>20396</v>
      </c>
    </row>
    <row r="344">
      <c r="A344">
        <v>333</v>
      </c>
      <c r="B344" t="str">
        <v>28*01*2026</v>
      </c>
      <c r="C344">
        <v>488</v>
      </c>
      <c r="D344">
        <v>10000</v>
      </c>
      <c r="F344">
        <f>F343+E343-D344</f>
        <v>10396</v>
      </c>
    </row>
    <row r="345">
      <c r="A345">
        <v>334</v>
      </c>
      <c r="B345" t="str">
        <v>29*01*2026</v>
      </c>
      <c r="C345" t="str">
        <v>CASH</v>
      </c>
      <c r="E345">
        <v>500000</v>
      </c>
      <c r="F345">
        <f>F344+E344-D345</f>
        <v>10396</v>
      </c>
    </row>
    <row r="346">
      <c r="A346">
        <v>335</v>
      </c>
      <c r="B346" t="str">
        <v>29*01*2026</v>
      </c>
      <c r="C346">
        <v>473</v>
      </c>
      <c r="D346">
        <v>125078</v>
      </c>
      <c r="F346">
        <f>F345+E345-D346</f>
        <v>385318</v>
      </c>
    </row>
    <row r="347">
      <c r="A347">
        <v>336</v>
      </c>
      <c r="B347" t="str">
        <v>29*01*2026</v>
      </c>
      <c r="C347">
        <v>479</v>
      </c>
      <c r="D347">
        <v>45950</v>
      </c>
      <c r="F347">
        <f>F346+E346-D347</f>
        <v>339368</v>
      </c>
    </row>
    <row r="348">
      <c r="A348">
        <v>337</v>
      </c>
      <c r="B348" t="str">
        <v>29*01*2026</v>
      </c>
      <c r="C348">
        <v>422</v>
      </c>
      <c r="D348">
        <v>145000</v>
      </c>
      <c r="F348">
        <f>F347+E347-D348</f>
        <v>194368</v>
      </c>
    </row>
    <row r="349">
      <c r="A349">
        <v>338</v>
      </c>
      <c r="C349">
        <v>480</v>
      </c>
      <c r="D349">
        <v>37300</v>
      </c>
      <c r="F349">
        <f>F348+E348-D349</f>
        <v>157068</v>
      </c>
    </row>
    <row r="350">
      <c r="A350">
        <v>339</v>
      </c>
      <c r="C350">
        <v>489</v>
      </c>
      <c r="D350">
        <v>9300</v>
      </c>
      <c r="F350">
        <f>F349+E349-D350</f>
        <v>147768</v>
      </c>
    </row>
    <row r="351">
      <c r="A351">
        <v>340</v>
      </c>
      <c r="B351" t="str">
        <v>29*01*2026</v>
      </c>
      <c r="C351">
        <v>331</v>
      </c>
      <c r="D351">
        <v>29100</v>
      </c>
      <c r="F351">
        <f>F350+E350-D351</f>
        <v>118668</v>
      </c>
    </row>
    <row r="352">
      <c r="A352">
        <v>341</v>
      </c>
      <c r="B352" t="str">
        <v>29*01*2026</v>
      </c>
      <c r="C352">
        <v>332</v>
      </c>
      <c r="D352">
        <v>19300</v>
      </c>
      <c r="F352">
        <f>F351+E351-D352</f>
        <v>99368</v>
      </c>
    </row>
    <row r="353">
      <c r="A353">
        <v>342</v>
      </c>
      <c r="B353" t="str">
        <v>29*01*2026</v>
      </c>
      <c r="C353" t="str">
        <v>HAMMALI</v>
      </c>
      <c r="D353">
        <v>31000</v>
      </c>
      <c r="F353">
        <f>F352+E352-D353</f>
        <v>68368</v>
      </c>
    </row>
    <row r="354">
      <c r="A354">
        <v>343</v>
      </c>
      <c r="B354" t="str">
        <v>30*01*2026</v>
      </c>
      <c r="C354">
        <v>503</v>
      </c>
      <c r="D354">
        <v>13100</v>
      </c>
      <c r="F354">
        <f>F353+E353-D354</f>
        <v>55268</v>
      </c>
    </row>
    <row r="355">
      <c r="A355">
        <v>344</v>
      </c>
      <c r="B355" t="str">
        <v>30*01*2026</v>
      </c>
      <c r="C355" t="str">
        <v>SLT</v>
      </c>
      <c r="E355">
        <v>400000</v>
      </c>
      <c r="F355">
        <f>F354+E354-D355</f>
        <v>55268</v>
      </c>
      <c r="H355" t="str">
        <v xml:space="preserve"> </v>
      </c>
    </row>
    <row r="356">
      <c r="A356">
        <v>345</v>
      </c>
      <c r="C356">
        <v>436</v>
      </c>
      <c r="D356">
        <v>70000</v>
      </c>
      <c r="F356">
        <f>F355+E355-D356</f>
        <v>385268</v>
      </c>
    </row>
    <row r="357">
      <c r="A357">
        <v>346</v>
      </c>
      <c r="C357">
        <v>483</v>
      </c>
      <c r="D357">
        <v>101700</v>
      </c>
      <c r="F357">
        <f>F356+E356-D357</f>
        <v>283568</v>
      </c>
    </row>
    <row r="358">
      <c r="A358">
        <v>347</v>
      </c>
      <c r="C358">
        <v>484</v>
      </c>
      <c r="D358">
        <v>36200</v>
      </c>
      <c r="F358">
        <f>F357+E357-D358</f>
        <v>247368</v>
      </c>
    </row>
    <row r="359">
      <c r="A359">
        <v>348</v>
      </c>
      <c r="C359" t="str">
        <v>ROOP</v>
      </c>
      <c r="D359">
        <v>17500</v>
      </c>
      <c r="F359">
        <f>F358+E358-D359</f>
        <v>229868</v>
      </c>
    </row>
    <row r="360">
      <c r="A360">
        <v>349</v>
      </c>
      <c r="C360">
        <v>505</v>
      </c>
      <c r="D360">
        <v>7000</v>
      </c>
      <c r="F360">
        <f>F359+E359-D360</f>
        <v>222868</v>
      </c>
    </row>
    <row r="361">
      <c r="A361">
        <v>350</v>
      </c>
      <c r="B361" t="str">
        <v>31*01*2026</v>
      </c>
      <c r="C361">
        <v>509</v>
      </c>
      <c r="D361">
        <v>84000</v>
      </c>
      <c r="F361">
        <f>F360+E360-D361</f>
        <v>138868</v>
      </c>
    </row>
    <row r="362">
      <c r="A362">
        <v>351</v>
      </c>
      <c r="B362" t="str">
        <v>30*01*2026</v>
      </c>
      <c r="C362" t="str">
        <v>HAMMALI</v>
      </c>
      <c r="D362">
        <v>22400</v>
      </c>
      <c r="F362">
        <f>F361+E361-D362</f>
        <v>116468</v>
      </c>
    </row>
    <row r="363">
      <c r="A363">
        <v>352</v>
      </c>
      <c r="B363" t="str">
        <v>31*01*2026</v>
      </c>
      <c r="C363" t="str">
        <v>HAMMALI</v>
      </c>
      <c r="D363">
        <v>13700</v>
      </c>
      <c r="F363">
        <f>F362+E362-D363</f>
        <v>102768</v>
      </c>
    </row>
    <row r="364">
      <c r="A364">
        <v>353</v>
      </c>
      <c r="B364" t="str">
        <v>01*02*2026</v>
      </c>
      <c r="C364" t="str">
        <v>HAMMALI</v>
      </c>
      <c r="D364">
        <v>10000</v>
      </c>
      <c r="F364">
        <f>F363+E363-D364</f>
        <v>92768</v>
      </c>
    </row>
    <row r="365">
      <c r="A365">
        <v>354</v>
      </c>
      <c r="C365">
        <v>485</v>
      </c>
      <c r="D365">
        <v>3200</v>
      </c>
      <c r="F365">
        <f>F364+E364-D365</f>
        <v>89568</v>
      </c>
    </row>
    <row r="366">
      <c r="A366">
        <v>355</v>
      </c>
      <c r="B366" t="str">
        <v>02*02*2026</v>
      </c>
      <c r="C366" t="str">
        <v>HAMMALI</v>
      </c>
      <c r="D366">
        <v>16500</v>
      </c>
      <c r="F366">
        <f>F365+E365-D366</f>
        <v>73068</v>
      </c>
    </row>
    <row r="367">
      <c r="A367">
        <v>356</v>
      </c>
      <c r="B367" t="str">
        <v>03*02*2026</v>
      </c>
      <c r="C367" t="str">
        <v>HAMMALI</v>
      </c>
      <c r="D367">
        <v>20600</v>
      </c>
      <c r="F367">
        <f>F366+E366-D367</f>
        <v>52468</v>
      </c>
    </row>
    <row r="368">
      <c r="A368">
        <v>357</v>
      </c>
      <c r="C368" t="str">
        <v>BEGHAN</v>
      </c>
      <c r="E368">
        <v>800000</v>
      </c>
      <c r="F368">
        <f>F367+E367-D368</f>
        <v>52468</v>
      </c>
    </row>
    <row r="369">
      <c r="A369">
        <v>358</v>
      </c>
      <c r="B369" t="str">
        <v>03*02*2026</v>
      </c>
      <c r="C369" t="str">
        <v>GIRISH</v>
      </c>
      <c r="D369">
        <v>662000</v>
      </c>
      <c r="F369">
        <f>F368+E368-D369</f>
        <v>190468</v>
      </c>
    </row>
    <row r="370">
      <c r="A370">
        <v>359</v>
      </c>
      <c r="B370" t="str">
        <v>04*02*2026</v>
      </c>
      <c r="C370">
        <v>520</v>
      </c>
      <c r="D370">
        <v>29900</v>
      </c>
      <c r="F370">
        <f>F369+E369-D370</f>
        <v>160568</v>
      </c>
    </row>
    <row r="371">
      <c r="A371">
        <v>360</v>
      </c>
      <c r="B371" t="str">
        <v>04*02*2026</v>
      </c>
      <c r="C371">
        <v>519</v>
      </c>
      <c r="D371">
        <v>37150</v>
      </c>
      <c r="F371">
        <f>F370+E370-D371</f>
        <v>123418</v>
      </c>
    </row>
    <row r="372">
      <c r="A372">
        <v>361</v>
      </c>
      <c r="B372" t="str">
        <v>04*02*2026</v>
      </c>
      <c r="C372">
        <v>529</v>
      </c>
      <c r="D372">
        <v>40500</v>
      </c>
      <c r="F372">
        <f>F371+E371-D372</f>
        <v>82918</v>
      </c>
    </row>
    <row r="373">
      <c r="A373">
        <v>362</v>
      </c>
      <c r="B373" t="str">
        <v>04*02*2026</v>
      </c>
      <c r="C373" t="str">
        <v>ADVANCE</v>
      </c>
      <c r="D373">
        <v>2100</v>
      </c>
      <c r="F373">
        <f>F372+E372-D373</f>
        <v>80818</v>
      </c>
    </row>
    <row r="374">
      <c r="A374">
        <v>363</v>
      </c>
      <c r="B374" t="str">
        <v>04*02*2026</v>
      </c>
      <c r="C374">
        <v>521</v>
      </c>
      <c r="D374">
        <v>5000</v>
      </c>
      <c r="F374">
        <f>F373+E373-D374</f>
        <v>75818</v>
      </c>
    </row>
    <row r="375">
      <c r="A375">
        <v>364</v>
      </c>
      <c r="C375">
        <v>532</v>
      </c>
      <c r="D375">
        <v>7900</v>
      </c>
      <c r="F375">
        <f>F374+E374-D375</f>
        <v>67918</v>
      </c>
    </row>
    <row r="376">
      <c r="A376">
        <v>365</v>
      </c>
      <c r="C376" t="str">
        <v>BILTY</v>
      </c>
      <c r="D376">
        <v>27000</v>
      </c>
      <c r="F376">
        <f>F375+E375-D376</f>
        <v>40918</v>
      </c>
    </row>
    <row r="377">
      <c r="A377">
        <v>366</v>
      </c>
      <c r="C377">
        <v>531</v>
      </c>
      <c r="D377">
        <v>5000</v>
      </c>
      <c r="F377">
        <f>F376+E376-D377</f>
        <v>35918</v>
      </c>
    </row>
    <row r="378">
      <c r="A378">
        <v>367</v>
      </c>
      <c r="C378">
        <v>541</v>
      </c>
      <c r="D378">
        <v>600</v>
      </c>
      <c r="F378">
        <f>F377+E377-D378</f>
        <v>35318</v>
      </c>
    </row>
    <row r="379">
      <c r="A379">
        <v>368</v>
      </c>
      <c r="C379">
        <v>9</v>
      </c>
      <c r="D379">
        <v>5000</v>
      </c>
      <c r="F379">
        <f>F378+E378-D379</f>
        <v>30318</v>
      </c>
    </row>
    <row r="380">
      <c r="A380">
        <v>369</v>
      </c>
      <c r="C380">
        <v>525</v>
      </c>
      <c r="D380">
        <v>1000</v>
      </c>
      <c r="F380">
        <f>F379+E379-D380</f>
        <v>29318</v>
      </c>
    </row>
    <row r="381">
      <c r="A381">
        <v>370</v>
      </c>
      <c r="C381">
        <v>521</v>
      </c>
      <c r="D381">
        <v>5000</v>
      </c>
      <c r="F381">
        <f>F380+E380-D381</f>
        <v>24318</v>
      </c>
    </row>
    <row r="382">
      <c r="A382">
        <v>371</v>
      </c>
      <c r="B382" t="str">
        <v>04*02*2026</v>
      </c>
      <c r="C382" t="str">
        <v>HAMMALI</v>
      </c>
      <c r="D382">
        <v>17500</v>
      </c>
      <c r="F382">
        <f>F381+E381-D382</f>
        <v>6818</v>
      </c>
    </row>
    <row r="383">
      <c r="A383">
        <v>372</v>
      </c>
      <c r="B383" t="str">
        <v>05*02*2026</v>
      </c>
      <c r="E383">
        <v>30000</v>
      </c>
      <c r="F383">
        <f>F382+E382-D383</f>
        <v>6818</v>
      </c>
    </row>
    <row r="384">
      <c r="A384">
        <v>373</v>
      </c>
      <c r="B384" t="str">
        <v>05*02*2026</v>
      </c>
      <c r="D384">
        <v>6000</v>
      </c>
      <c r="F384">
        <f>F383+E383-D384</f>
        <v>30818</v>
      </c>
    </row>
    <row r="385">
      <c r="A385">
        <v>374</v>
      </c>
      <c r="B385" t="str">
        <v>05*02*2026</v>
      </c>
      <c r="C385" t="str">
        <v>HAMMALI</v>
      </c>
      <c r="D385">
        <v>14600</v>
      </c>
      <c r="F385">
        <f>F384+E384-D385</f>
        <v>16218</v>
      </c>
    </row>
    <row r="386">
      <c r="A386">
        <v>375</v>
      </c>
      <c r="B386" t="str">
        <v>06*02*2026</v>
      </c>
      <c r="C386" t="str">
        <v>SLT</v>
      </c>
      <c r="E386">
        <v>50000</v>
      </c>
      <c r="F386">
        <f>F385+E385-D386</f>
        <v>16218</v>
      </c>
    </row>
    <row r="387">
      <c r="A387">
        <v>376</v>
      </c>
      <c r="B387" t="str">
        <v>06*02*2026</v>
      </c>
      <c r="C387" t="str">
        <v>HAMMALI</v>
      </c>
      <c r="D387">
        <v>29000</v>
      </c>
      <c r="F387">
        <f>F386+E386-D387</f>
        <v>37218</v>
      </c>
    </row>
    <row r="388">
      <c r="A388">
        <v>377</v>
      </c>
      <c r="C388">
        <v>553</v>
      </c>
      <c r="D388">
        <v>5900</v>
      </c>
      <c r="F388">
        <f>F387+E387-D388</f>
        <v>31318</v>
      </c>
    </row>
    <row r="389">
      <c r="A389">
        <v>378</v>
      </c>
      <c r="C389" t="str">
        <v>GUNNY BAGS</v>
      </c>
      <c r="D389">
        <v>5600</v>
      </c>
      <c r="F389">
        <f>F388+E388-D389</f>
        <v>25718</v>
      </c>
    </row>
    <row r="390">
      <c r="A390">
        <v>379</v>
      </c>
      <c r="C390">
        <v>549</v>
      </c>
      <c r="D390">
        <v>9900</v>
      </c>
      <c r="F390">
        <f>F389+E389-D390</f>
        <v>15818</v>
      </c>
    </row>
    <row r="391">
      <c r="A391">
        <v>380</v>
      </c>
      <c r="C391">
        <v>542</v>
      </c>
      <c r="D391">
        <v>1000</v>
      </c>
      <c r="F391">
        <f>F390+E390-D391</f>
        <v>14818</v>
      </c>
    </row>
    <row r="392">
      <c r="A392">
        <v>381</v>
      </c>
      <c r="B392" t="str">
        <v>07*02*2026</v>
      </c>
      <c r="C392" t="str">
        <v>OM SRIHSAKTHI</v>
      </c>
      <c r="E392">
        <v>60000</v>
      </c>
      <c r="F392">
        <f>F391+E391-D392</f>
        <v>14818</v>
      </c>
    </row>
    <row r="393">
      <c r="A393">
        <v>382</v>
      </c>
      <c r="B393" t="str">
        <v>07*02*2026</v>
      </c>
      <c r="C393">
        <v>554</v>
      </c>
      <c r="D393">
        <v>8500</v>
      </c>
      <c r="F393">
        <f>F392+E392-D393</f>
        <v>66318</v>
      </c>
    </row>
    <row r="394">
      <c r="A394">
        <v>383</v>
      </c>
      <c r="C394">
        <v>540</v>
      </c>
      <c r="D394">
        <v>5000</v>
      </c>
      <c r="F394">
        <f>F393+E393-D394</f>
        <v>61318</v>
      </c>
    </row>
    <row r="395">
      <c r="A395">
        <v>384</v>
      </c>
      <c r="C395">
        <v>533</v>
      </c>
      <c r="D395">
        <v>14600</v>
      </c>
      <c r="F395">
        <f>F394+E394-D395</f>
        <v>46718</v>
      </c>
    </row>
    <row r="396">
      <c r="A396">
        <v>385</v>
      </c>
      <c r="B396" t="str">
        <v>07*02*2026</v>
      </c>
      <c r="C396" t="str">
        <v>LORRY</v>
      </c>
      <c r="D396">
        <v>5000</v>
      </c>
      <c r="F396">
        <f>F395+E395-D396</f>
        <v>41718</v>
      </c>
    </row>
    <row r="397">
      <c r="A397">
        <v>386</v>
      </c>
      <c r="B397" t="str">
        <v>07*02*2026</v>
      </c>
      <c r="C397" t="str">
        <v>HAMMALI</v>
      </c>
      <c r="D397">
        <v>30500</v>
      </c>
      <c r="F397">
        <f>F396+E396-D397</f>
        <v>11218</v>
      </c>
    </row>
    <row r="398">
      <c r="A398">
        <v>387</v>
      </c>
      <c r="C398" t="str">
        <v>OM SRIHSAKTHI</v>
      </c>
      <c r="E398">
        <v>80000</v>
      </c>
      <c r="F398">
        <f>F397+E397-D398</f>
        <v>11218</v>
      </c>
    </row>
    <row r="399">
      <c r="A399">
        <v>388</v>
      </c>
      <c r="B399" t="str">
        <v>08*02*2026</v>
      </c>
      <c r="C399" t="str">
        <v>SWAMI HAMMALI</v>
      </c>
      <c r="D399">
        <v>34000</v>
      </c>
      <c r="F399">
        <f>F398+E398-D399</f>
        <v>57218</v>
      </c>
    </row>
    <row r="400">
      <c r="A400">
        <v>389</v>
      </c>
      <c r="B400" t="str">
        <v>08*02*2026</v>
      </c>
      <c r="C400" t="str">
        <v>HAMMALI</v>
      </c>
      <c r="D400">
        <v>30400</v>
      </c>
      <c r="F400">
        <f>F399+E399-D400</f>
        <v>26818</v>
      </c>
    </row>
    <row r="401">
      <c r="A401">
        <v>390</v>
      </c>
      <c r="B401" t="str">
        <v>08*02*2026</v>
      </c>
      <c r="C401" t="str">
        <v>IMRAN/ SMBT</v>
      </c>
      <c r="D401">
        <v>0</v>
      </c>
      <c r="E401">
        <v>135000</v>
      </c>
      <c r="F401">
        <f>F400+E400-D401</f>
        <v>26818</v>
      </c>
    </row>
    <row r="402">
      <c r="A402">
        <v>391</v>
      </c>
      <c r="B402" t="str">
        <v>09*02*2026</v>
      </c>
      <c r="C402">
        <v>543</v>
      </c>
      <c r="D402">
        <v>13735</v>
      </c>
      <c r="F402">
        <f>F401+E401-D402</f>
        <v>148083</v>
      </c>
    </row>
    <row r="403">
      <c r="A403">
        <v>392</v>
      </c>
      <c r="B403" t="str">
        <v>09*02*2026</v>
      </c>
      <c r="C403">
        <v>544</v>
      </c>
      <c r="D403">
        <v>24667</v>
      </c>
      <c r="F403">
        <f>F402+E402-D403</f>
        <v>123416</v>
      </c>
    </row>
    <row r="404">
      <c r="A404">
        <v>393</v>
      </c>
      <c r="C404">
        <v>562</v>
      </c>
      <c r="D404">
        <v>55000</v>
      </c>
      <c r="F404">
        <f>F403+E403-D404</f>
        <v>68416</v>
      </c>
    </row>
    <row r="405">
      <c r="A405">
        <v>394</v>
      </c>
      <c r="B405" t="str">
        <v>09*02*2026</v>
      </c>
      <c r="C405" t="str">
        <v>OM SRIHSAKTHI</v>
      </c>
      <c r="E405">
        <v>60000</v>
      </c>
      <c r="F405">
        <f>F404+E404-D405</f>
        <v>68416</v>
      </c>
    </row>
    <row r="406">
      <c r="A406">
        <v>395</v>
      </c>
      <c r="B406" t="str">
        <v>09*02*2026</v>
      </c>
      <c r="C406" t="str">
        <v>HAMMALI</v>
      </c>
      <c r="D406">
        <v>15300</v>
      </c>
      <c r="F406">
        <f>F405+E405-D406</f>
        <v>113116</v>
      </c>
    </row>
    <row r="407">
      <c r="A407">
        <v>396</v>
      </c>
      <c r="B407" t="str">
        <v>09*02*2026</v>
      </c>
      <c r="C407" t="str">
        <v>SWAMI HAMMALI</v>
      </c>
      <c r="D407">
        <v>4600</v>
      </c>
      <c r="F407">
        <f>F406+E406-D407</f>
        <v>108516</v>
      </c>
    </row>
    <row r="408">
      <c r="A408">
        <v>397</v>
      </c>
      <c r="B408" t="str">
        <v>09*02*2026</v>
      </c>
      <c r="C408" t="str">
        <v>farmer</v>
      </c>
      <c r="D408">
        <v>4000</v>
      </c>
      <c r="F408">
        <f>F407+E407-D408</f>
        <v>104516</v>
      </c>
    </row>
    <row r="409">
      <c r="A409">
        <v>398</v>
      </c>
      <c r="B409" t="str">
        <v>10*02*2026</v>
      </c>
      <c r="C409" t="str">
        <v>CASH BEGAN</v>
      </c>
      <c r="E409">
        <v>1700000</v>
      </c>
      <c r="F409">
        <f>F408+E408-D409</f>
        <v>104516</v>
      </c>
    </row>
    <row r="410">
      <c r="A410">
        <v>399</v>
      </c>
      <c r="B410" t="str">
        <v>10*02*2026</v>
      </c>
      <c r="C410">
        <v>554</v>
      </c>
      <c r="D410">
        <v>30000</v>
      </c>
      <c r="F410">
        <f>F409+E409-D410</f>
        <v>1774516</v>
      </c>
    </row>
    <row r="411">
      <c r="A411">
        <v>400</v>
      </c>
      <c r="B411" t="str">
        <v>10*02*2026</v>
      </c>
      <c r="C411">
        <v>581</v>
      </c>
      <c r="D411">
        <v>42500</v>
      </c>
      <c r="F411">
        <f>F410+E410-D411</f>
        <v>1732016</v>
      </c>
    </row>
    <row r="412">
      <c r="A412">
        <v>401</v>
      </c>
      <c r="B412" t="str">
        <v>10*02*2026</v>
      </c>
      <c r="C412">
        <v>557</v>
      </c>
      <c r="D412">
        <v>50221</v>
      </c>
      <c r="F412">
        <f>F411+E411-D412</f>
        <v>1681795</v>
      </c>
    </row>
    <row r="413">
      <c r="A413">
        <v>402</v>
      </c>
      <c r="B413" t="str">
        <v>10*02*2026</v>
      </c>
      <c r="C413">
        <v>559</v>
      </c>
      <c r="D413">
        <v>59500</v>
      </c>
      <c r="F413">
        <f>F412+E412-D413</f>
        <v>1622295</v>
      </c>
    </row>
    <row r="414">
      <c r="A414">
        <v>403</v>
      </c>
      <c r="B414" t="str">
        <v>10*02*2026</v>
      </c>
      <c r="C414">
        <v>558</v>
      </c>
      <c r="D414">
        <v>124500</v>
      </c>
      <c r="F414">
        <f>F413+E413-D414</f>
        <v>1497795</v>
      </c>
    </row>
    <row r="415">
      <c r="A415">
        <v>404</v>
      </c>
      <c r="B415" t="str">
        <v>10*02*2026</v>
      </c>
      <c r="C415">
        <v>547</v>
      </c>
      <c r="D415">
        <v>92800</v>
      </c>
      <c r="F415">
        <f>F414+E414-D415</f>
        <v>1404995</v>
      </c>
    </row>
    <row r="416">
      <c r="A416">
        <v>405</v>
      </c>
      <c r="B416" t="str">
        <v>10*02*2026</v>
      </c>
      <c r="C416">
        <v>564</v>
      </c>
      <c r="D416">
        <v>166600</v>
      </c>
      <c r="F416">
        <f>F415+E415-D416</f>
        <v>1238395</v>
      </c>
    </row>
    <row r="417">
      <c r="A417">
        <v>406</v>
      </c>
      <c r="B417" t="str">
        <v>10*02*2026</v>
      </c>
      <c r="C417">
        <v>548</v>
      </c>
      <c r="D417">
        <v>47800</v>
      </c>
      <c r="F417">
        <f>F416+E416-D417</f>
        <v>1190595</v>
      </c>
    </row>
    <row r="418">
      <c r="A418">
        <v>407</v>
      </c>
      <c r="B418" t="str">
        <v>10*02*2026</v>
      </c>
      <c r="C418">
        <v>570</v>
      </c>
      <c r="D418">
        <v>46200</v>
      </c>
      <c r="F418">
        <f>F417+E417-D418</f>
        <v>1144395</v>
      </c>
    </row>
    <row r="419">
      <c r="A419">
        <v>408</v>
      </c>
      <c r="B419" t="str">
        <v>10*02*2026</v>
      </c>
      <c r="C419">
        <v>572</v>
      </c>
      <c r="D419">
        <v>109000</v>
      </c>
      <c r="F419">
        <f>F418+E418-D419</f>
        <v>1035395</v>
      </c>
    </row>
    <row r="420">
      <c r="A420">
        <v>409</v>
      </c>
      <c r="B420" t="str">
        <v>10*02*2026</v>
      </c>
      <c r="C420">
        <v>584</v>
      </c>
      <c r="D420">
        <v>14000</v>
      </c>
      <c r="F420">
        <f>F419+E419-D420</f>
        <v>1021395</v>
      </c>
    </row>
    <row r="421">
      <c r="A421">
        <v>410</v>
      </c>
      <c r="B421" t="str">
        <v>10*02*2026</v>
      </c>
      <c r="C421">
        <v>541</v>
      </c>
      <c r="D421">
        <v>128669</v>
      </c>
      <c r="F421">
        <f>F420+E420-D421</f>
        <v>892726</v>
      </c>
    </row>
    <row r="422">
      <c r="A422">
        <v>411</v>
      </c>
      <c r="B422" t="str">
        <v>10*02*2026</v>
      </c>
      <c r="C422">
        <v>576</v>
      </c>
      <c r="D422">
        <v>32800</v>
      </c>
      <c r="F422">
        <f>F421+E421-D422</f>
        <v>859926</v>
      </c>
    </row>
    <row r="423">
      <c r="A423">
        <v>412</v>
      </c>
      <c r="B423" t="str">
        <v>10*02*2026</v>
      </c>
      <c r="C423">
        <v>593</v>
      </c>
      <c r="D423">
        <v>17100</v>
      </c>
      <c r="F423">
        <f>F422+E422-D423</f>
        <v>842826</v>
      </c>
    </row>
    <row r="424">
      <c r="A424">
        <v>413</v>
      </c>
      <c r="B424" t="str">
        <v>10*02*2026</v>
      </c>
      <c r="C424">
        <v>569</v>
      </c>
      <c r="D424">
        <v>93700</v>
      </c>
      <c r="F424">
        <f>F423+E423-D424</f>
        <v>749126</v>
      </c>
    </row>
    <row r="425">
      <c r="A425">
        <v>414</v>
      </c>
      <c r="B425" t="str">
        <v>10*02*2026</v>
      </c>
      <c r="C425">
        <v>566</v>
      </c>
      <c r="D425">
        <v>31500</v>
      </c>
      <c r="F425">
        <f>F424+E424-D425</f>
        <v>717626</v>
      </c>
    </row>
    <row r="426">
      <c r="A426">
        <v>415</v>
      </c>
      <c r="B426" t="str">
        <v>10*02*2026</v>
      </c>
      <c r="C426">
        <v>567</v>
      </c>
      <c r="D426">
        <v>10500</v>
      </c>
      <c r="F426">
        <f>F425+E425-D426</f>
        <v>707126</v>
      </c>
    </row>
    <row r="427">
      <c r="A427">
        <v>416</v>
      </c>
      <c r="B427" t="str">
        <v>10*02*2026</v>
      </c>
      <c r="C427" t="str">
        <v>HAMMALI</v>
      </c>
      <c r="D427">
        <v>22000</v>
      </c>
      <c r="F427">
        <f>F426+E426-D427</f>
        <v>685126</v>
      </c>
    </row>
    <row r="428">
      <c r="A428">
        <v>417</v>
      </c>
      <c r="B428" t="str">
        <v>11*02*2026</v>
      </c>
      <c r="C428">
        <v>592</v>
      </c>
      <c r="D428">
        <v>42100</v>
      </c>
      <c r="F428">
        <f>F427+E427-D428</f>
        <v>643026</v>
      </c>
    </row>
    <row r="429">
      <c r="A429">
        <v>418</v>
      </c>
      <c r="B429" t="str">
        <v>11*02*2026</v>
      </c>
      <c r="C429">
        <v>561</v>
      </c>
      <c r="D429">
        <v>155000</v>
      </c>
      <c r="F429">
        <f>F428+E428-D429</f>
        <v>488026</v>
      </c>
    </row>
    <row r="430">
      <c r="A430">
        <v>419</v>
      </c>
      <c r="B430" t="str">
        <v>11*02*2026</v>
      </c>
      <c r="C430">
        <v>565</v>
      </c>
      <c r="D430">
        <v>137633</v>
      </c>
      <c r="F430">
        <f>F429+E429-D430</f>
        <v>350393</v>
      </c>
    </row>
    <row r="431">
      <c r="A431">
        <v>420</v>
      </c>
      <c r="B431" t="str">
        <v>11*02*2026</v>
      </c>
      <c r="C431">
        <v>573</v>
      </c>
      <c r="D431">
        <v>169658</v>
      </c>
      <c r="F431">
        <f>F430+E430-D431</f>
        <v>180735</v>
      </c>
    </row>
    <row r="432">
      <c r="A432">
        <v>421</v>
      </c>
      <c r="B432" t="str">
        <v>11*02*2026</v>
      </c>
      <c r="C432">
        <v>537</v>
      </c>
      <c r="D432">
        <v>53000</v>
      </c>
      <c r="F432">
        <f>F431+E431-D432</f>
        <v>127735</v>
      </c>
    </row>
    <row r="433">
      <c r="A433">
        <v>422</v>
      </c>
      <c r="B433" t="str">
        <v>11*02*2026</v>
      </c>
      <c r="C433">
        <v>563</v>
      </c>
      <c r="D433">
        <v>121500</v>
      </c>
      <c r="F433">
        <f>F432+E432-D433</f>
        <v>6235</v>
      </c>
    </row>
    <row r="434">
      <c r="A434">
        <v>423</v>
      </c>
      <c r="B434" t="str">
        <v>11*02*2026</v>
      </c>
      <c r="C434" t="str">
        <v>HOME</v>
      </c>
      <c r="E434">
        <v>500000</v>
      </c>
      <c r="F434">
        <f>F433+E433-D434</f>
        <v>6235</v>
      </c>
    </row>
    <row r="435">
      <c r="A435">
        <v>424</v>
      </c>
      <c r="B435" t="str">
        <v>11*02*2026</v>
      </c>
      <c r="C435">
        <v>545</v>
      </c>
      <c r="D435">
        <v>160300</v>
      </c>
      <c r="F435">
        <f>F434+E434-D435</f>
        <v>345935</v>
      </c>
    </row>
    <row r="436">
      <c r="A436">
        <v>425</v>
      </c>
      <c r="B436" t="str">
        <v>11*02*2026</v>
      </c>
      <c r="C436">
        <v>560</v>
      </c>
      <c r="D436">
        <v>158900</v>
      </c>
      <c r="F436">
        <f>F435+E435-D436</f>
        <v>187035</v>
      </c>
    </row>
    <row r="437">
      <c r="A437">
        <v>426</v>
      </c>
      <c r="B437" t="str">
        <v>11*02*2026</v>
      </c>
      <c r="C437">
        <v>591</v>
      </c>
      <c r="D437">
        <v>3800</v>
      </c>
      <c r="F437">
        <f>F436+E436-D437</f>
        <v>183235</v>
      </c>
    </row>
    <row r="438">
      <c r="A438">
        <v>427</v>
      </c>
      <c r="B438" t="str">
        <v>11*02*2026</v>
      </c>
      <c r="C438">
        <v>589</v>
      </c>
      <c r="D438">
        <v>35100</v>
      </c>
      <c r="F438">
        <f>F437+E437-D438</f>
        <v>148135</v>
      </c>
    </row>
    <row r="439">
      <c r="A439">
        <v>428</v>
      </c>
      <c r="B439" t="str">
        <v>11*02*2026</v>
      </c>
      <c r="C439" t="str">
        <v>HAMMALI</v>
      </c>
      <c r="D439">
        <v>18600</v>
      </c>
      <c r="F439">
        <f>F438+E438-D439</f>
        <v>129535</v>
      </c>
    </row>
    <row r="440">
      <c r="A440">
        <v>429</v>
      </c>
      <c r="B440" t="str">
        <v>11*02*2026</v>
      </c>
      <c r="C440" t="str">
        <v>HOME</v>
      </c>
      <c r="E440">
        <v>500000</v>
      </c>
      <c r="F440">
        <f>F439+E439-D440</f>
        <v>129535</v>
      </c>
    </row>
    <row r="441">
      <c r="A441">
        <v>430</v>
      </c>
      <c r="B441" t="str">
        <v>11*02*2026</v>
      </c>
      <c r="C441">
        <v>542</v>
      </c>
      <c r="D441">
        <v>407108</v>
      </c>
      <c r="F441">
        <f>F440+E440-D441</f>
        <v>222427</v>
      </c>
    </row>
    <row r="442">
      <c r="A442">
        <v>431</v>
      </c>
      <c r="B442" t="str">
        <v>11*02*2026</v>
      </c>
      <c r="C442">
        <v>546</v>
      </c>
      <c r="D442">
        <v>102472</v>
      </c>
      <c r="F442">
        <f>F441+E441-D442</f>
        <v>119955</v>
      </c>
    </row>
    <row r="443">
      <c r="A443">
        <v>432</v>
      </c>
      <c r="B443" t="str">
        <v>12*02*2026</v>
      </c>
      <c r="C443" t="str">
        <v>SLT</v>
      </c>
      <c r="E443">
        <v>100000</v>
      </c>
      <c r="F443">
        <f>F442+E442-D443</f>
        <v>119955</v>
      </c>
    </row>
    <row r="444">
      <c r="A444">
        <v>433</v>
      </c>
      <c r="B444" t="str">
        <v>12*02*2026</v>
      </c>
      <c r="C444" t="str">
        <v xml:space="preserve">SWAMI   </v>
      </c>
      <c r="D444">
        <v>100000</v>
      </c>
      <c r="F444">
        <f>F443+E443-D444</f>
        <v>119955</v>
      </c>
    </row>
    <row r="445">
      <c r="A445">
        <v>434</v>
      </c>
      <c r="B445" t="str">
        <v>12*02*2026</v>
      </c>
      <c r="C445" t="str">
        <v>OM SRIHSAKTHI</v>
      </c>
      <c r="E445">
        <v>40000</v>
      </c>
      <c r="F445">
        <f>F444+E444-D445</f>
        <v>119955</v>
      </c>
    </row>
    <row r="446">
      <c r="A446">
        <v>435</v>
      </c>
      <c r="B446" t="str">
        <v>12*02*2026</v>
      </c>
      <c r="C446">
        <v>591</v>
      </c>
      <c r="D446">
        <v>30000</v>
      </c>
      <c r="F446">
        <f>F445+E445-D446</f>
        <v>129955</v>
      </c>
    </row>
    <row r="447">
      <c r="A447">
        <v>436</v>
      </c>
      <c r="B447" t="str">
        <v>12*02*2026</v>
      </c>
      <c r="C447" t="str">
        <v>HAMMALI</v>
      </c>
      <c r="D447">
        <v>22800</v>
      </c>
      <c r="F447">
        <f>F446+E446-D447</f>
        <v>107155</v>
      </c>
    </row>
    <row r="448">
      <c r="A448">
        <v>437</v>
      </c>
      <c r="C448" t="str">
        <v>farmer</v>
      </c>
      <c r="D448">
        <v>10000</v>
      </c>
      <c r="F448">
        <f>F447+E447-D448</f>
        <v>97155</v>
      </c>
    </row>
    <row r="449">
      <c r="A449">
        <v>438</v>
      </c>
      <c r="B449" t="str">
        <v>13*02*2026</v>
      </c>
      <c r="C449" t="str">
        <v>HAMMALI</v>
      </c>
      <c r="D449">
        <v>12500</v>
      </c>
      <c r="F449">
        <f>F448+E448-D449</f>
        <v>84655</v>
      </c>
    </row>
    <row r="450">
      <c r="A450">
        <v>439</v>
      </c>
      <c r="E450">
        <v>30000</v>
      </c>
      <c r="F450">
        <f>F449+E449-D450</f>
        <v>84655</v>
      </c>
    </row>
    <row r="451">
      <c r="A451">
        <v>440</v>
      </c>
      <c r="B451" t="str">
        <v>14*02*2026</v>
      </c>
      <c r="C451" t="str">
        <v>HAMMALI</v>
      </c>
      <c r="D451">
        <v>15200</v>
      </c>
      <c r="F451">
        <f>F450+E450-D451</f>
        <v>99455</v>
      </c>
    </row>
    <row r="452">
      <c r="A452">
        <v>441</v>
      </c>
      <c r="B452" t="str">
        <v>17*02*2026</v>
      </c>
      <c r="C452" t="str">
        <v>YOGESH</v>
      </c>
      <c r="E452">
        <v>110000</v>
      </c>
      <c r="F452">
        <f>F451+E451-D452</f>
        <v>99455</v>
      </c>
      <c r="G452" t="str">
        <v>52000/58000</v>
      </c>
      <c r="H452" t="str">
        <v>SHAKTHI</v>
      </c>
    </row>
    <row r="453">
      <c r="A453">
        <v>442</v>
      </c>
      <c r="B453" t="str">
        <v>17*02*2026</v>
      </c>
      <c r="C453" t="str">
        <v>SWAMI</v>
      </c>
      <c r="D453">
        <v>100000</v>
      </c>
      <c r="F453">
        <f>F452+E452-D453</f>
        <v>109455</v>
      </c>
    </row>
    <row r="454">
      <c r="A454">
        <v>443</v>
      </c>
      <c r="B454" t="str">
        <v>17*02*2026</v>
      </c>
      <c r="C454" t="str">
        <v>SHAKTHI</v>
      </c>
      <c r="E454">
        <v>500000</v>
      </c>
      <c r="F454">
        <f>F453+E453-D454</f>
        <v>109455</v>
      </c>
    </row>
    <row r="455">
      <c r="A455">
        <v>444</v>
      </c>
      <c r="B455" t="str">
        <v>17*02*2026</v>
      </c>
      <c r="C455" t="str">
        <v>SWAMI</v>
      </c>
      <c r="D455">
        <v>500000</v>
      </c>
      <c r="F455">
        <f>F454+E454-D455</f>
        <v>109455</v>
      </c>
    </row>
    <row r="456">
      <c r="A456">
        <v>445</v>
      </c>
      <c r="B456" t="str">
        <v>16*02*2026</v>
      </c>
      <c r="C456" t="str">
        <v>HAMMALI</v>
      </c>
      <c r="D456">
        <v>2100</v>
      </c>
      <c r="F456">
        <f>F455+E455-D456</f>
        <v>107355</v>
      </c>
    </row>
    <row r="457">
      <c r="A457">
        <v>446</v>
      </c>
      <c r="B457" t="str">
        <v>17*02*2026</v>
      </c>
      <c r="C457" t="str">
        <v>HAMMALI</v>
      </c>
      <c r="D457">
        <v>8200</v>
      </c>
      <c r="F457">
        <f>F456+E456-D457</f>
        <v>99155</v>
      </c>
    </row>
    <row r="458">
      <c r="A458">
        <v>447</v>
      </c>
      <c r="B458" t="str">
        <v>18*02*2026</v>
      </c>
      <c r="C458" t="str">
        <v>YOGESH AC</v>
      </c>
      <c r="E458">
        <v>80000</v>
      </c>
      <c r="F458">
        <f>F457+E457-D458</f>
        <v>99155</v>
      </c>
      <c r="G458">
        <v>80000</v>
      </c>
      <c r="H458" t="str">
        <v>SHAKTHI</v>
      </c>
    </row>
    <row r="459">
      <c r="A459">
        <v>448</v>
      </c>
      <c r="B459" t="str">
        <v>18*02*2026</v>
      </c>
      <c r="C459">
        <v>620</v>
      </c>
      <c r="D459">
        <v>51500</v>
      </c>
      <c r="F459">
        <f>F458+E458-D459</f>
        <v>127655</v>
      </c>
    </row>
    <row r="460">
      <c r="A460">
        <v>449</v>
      </c>
      <c r="B460" t="str">
        <v>18*02*2026</v>
      </c>
      <c r="C460">
        <v>619</v>
      </c>
      <c r="D460">
        <v>29700</v>
      </c>
      <c r="F460">
        <f>F459+E459-D460</f>
        <v>97955</v>
      </c>
      <c r="K460">
        <v>85000</v>
      </c>
      <c r="L460" t="str">
        <v>imran</v>
      </c>
    </row>
    <row r="461">
      <c r="A461">
        <v>450</v>
      </c>
      <c r="B461" t="str">
        <v>18*02*2026</v>
      </c>
      <c r="C461" t="str">
        <v>HAMMALI</v>
      </c>
      <c r="D461">
        <v>6000</v>
      </c>
      <c r="F461">
        <f>F460+E460-D461</f>
        <v>91955</v>
      </c>
    </row>
    <row r="462">
      <c r="A462">
        <v>451</v>
      </c>
      <c r="B462" t="str">
        <v>19*02*2026</v>
      </c>
      <c r="C462" t="str">
        <v>farmer</v>
      </c>
      <c r="D462">
        <v>2000</v>
      </c>
      <c r="F462">
        <f>F461+E461-D462</f>
        <v>89955</v>
      </c>
    </row>
    <row r="463">
      <c r="A463">
        <v>452</v>
      </c>
      <c r="B463" t="str">
        <v>19*02*2026</v>
      </c>
      <c r="C463" t="str">
        <v>SHAKTHI</v>
      </c>
      <c r="E463">
        <v>20000</v>
      </c>
      <c r="F463">
        <f>F462+E462-D463</f>
        <v>89955</v>
      </c>
    </row>
    <row r="464">
      <c r="A464">
        <v>453</v>
      </c>
      <c r="B464" t="str">
        <v>19*02*2026</v>
      </c>
      <c r="C464">
        <v>626</v>
      </c>
      <c r="D464">
        <v>13500</v>
      </c>
      <c r="F464">
        <f>F463+E463-D464</f>
        <v>96455</v>
      </c>
    </row>
    <row r="465">
      <c r="A465">
        <v>454</v>
      </c>
      <c r="B465" t="str">
        <v>19*02*2026</v>
      </c>
      <c r="C465" t="str">
        <v>HAMMALI</v>
      </c>
      <c r="D465">
        <v>5400</v>
      </c>
      <c r="F465">
        <f>F464+E464-D465</f>
        <v>91055</v>
      </c>
    </row>
    <row r="466">
      <c r="A466">
        <v>455</v>
      </c>
      <c r="B466" t="str">
        <v>19*02*2026</v>
      </c>
      <c r="C466" t="str">
        <v>SHAKTHI</v>
      </c>
      <c r="E466">
        <v>600000</v>
      </c>
      <c r="F466">
        <f>F465+E465-D466</f>
        <v>91055</v>
      </c>
    </row>
    <row r="467">
      <c r="A467">
        <v>456</v>
      </c>
      <c r="B467" t="str">
        <v>19*02*2026</v>
      </c>
      <c r="C467" t="str">
        <v>SWAMI</v>
      </c>
      <c r="D467">
        <v>600000</v>
      </c>
      <c r="F467">
        <f>F466+E466-D467</f>
        <v>91055</v>
      </c>
    </row>
    <row r="468">
      <c r="A468">
        <v>457</v>
      </c>
      <c r="B468" t="str">
        <v>21*02*2026</v>
      </c>
      <c r="C468" t="str">
        <v>SHAKTHI</v>
      </c>
      <c r="E468">
        <v>20000</v>
      </c>
      <c r="F468">
        <f>F467+E467-D468</f>
        <v>91055</v>
      </c>
    </row>
    <row r="469">
      <c r="A469">
        <v>458</v>
      </c>
      <c r="B469" t="str">
        <v>21*02*2026</v>
      </c>
      <c r="C469" t="str">
        <v>HAMMALI</v>
      </c>
      <c r="D469">
        <v>11400</v>
      </c>
      <c r="F469">
        <f>F468+E468-D469</f>
        <v>99655</v>
      </c>
    </row>
    <row r="470">
      <c r="A470">
        <v>459</v>
      </c>
      <c r="B470" t="str">
        <v>21*02*2026</v>
      </c>
      <c r="C470" t="str">
        <v>farmer</v>
      </c>
      <c r="D470">
        <v>3500</v>
      </c>
      <c r="F470">
        <f>F469+E469-D470</f>
        <v>96155</v>
      </c>
    </row>
    <row r="471">
      <c r="A471">
        <v>460</v>
      </c>
      <c r="B471" t="str">
        <v>22*02*2026</v>
      </c>
      <c r="C471" t="str">
        <v>HAMMALI</v>
      </c>
      <c r="D471">
        <v>1600</v>
      </c>
      <c r="F471">
        <f>F470+E470-D471</f>
        <v>94555</v>
      </c>
    </row>
    <row r="472">
      <c r="A472">
        <v>461</v>
      </c>
      <c r="B472" t="str">
        <v>23*02*2026</v>
      </c>
      <c r="C472" t="str">
        <v>HOME</v>
      </c>
      <c r="E472">
        <v>400000</v>
      </c>
      <c r="F472">
        <f>F471+E471-D472</f>
        <v>94555</v>
      </c>
    </row>
    <row r="473">
      <c r="A473">
        <v>462</v>
      </c>
      <c r="B473" t="str">
        <v>23*02*2026</v>
      </c>
      <c r="C473">
        <v>627</v>
      </c>
      <c r="D473">
        <v>44500</v>
      </c>
      <c r="F473">
        <f>F472+E472-D473</f>
        <v>450055</v>
      </c>
    </row>
    <row r="474">
      <c r="A474">
        <v>463</v>
      </c>
      <c r="B474" t="str">
        <v>23*02*2026</v>
      </c>
      <c r="C474">
        <v>629</v>
      </c>
      <c r="D474">
        <v>81500</v>
      </c>
      <c r="F474">
        <f>F473+E473-D474</f>
        <v>368555</v>
      </c>
    </row>
    <row r="475">
      <c r="A475">
        <v>464</v>
      </c>
      <c r="B475" t="str">
        <v>23*02*2026</v>
      </c>
      <c r="C475">
        <v>632</v>
      </c>
      <c r="D475">
        <v>22100</v>
      </c>
      <c r="F475">
        <f>F474+E474-D475</f>
        <v>346455</v>
      </c>
    </row>
    <row r="476">
      <c r="A476">
        <v>465</v>
      </c>
      <c r="B476" t="str">
        <v>23*02*2026</v>
      </c>
      <c r="C476" t="str">
        <v>RANJITH CESS</v>
      </c>
      <c r="D476">
        <v>13000</v>
      </c>
      <c r="F476">
        <f>F475+E475-D476</f>
        <v>333455</v>
      </c>
    </row>
    <row r="477">
      <c r="A477">
        <v>466</v>
      </c>
      <c r="B477" t="str">
        <v>23*02*2026</v>
      </c>
      <c r="C477" t="str">
        <v>HAMMALI</v>
      </c>
      <c r="D477">
        <v>14200</v>
      </c>
      <c r="F477">
        <f>F476+E476-D477</f>
        <v>319255</v>
      </c>
    </row>
    <row r="478">
      <c r="A478">
        <v>467</v>
      </c>
      <c r="C478">
        <v>628</v>
      </c>
      <c r="D478">
        <v>58616</v>
      </c>
      <c r="F478">
        <f>F477+E477-D478</f>
        <v>260639</v>
      </c>
    </row>
    <row r="479">
      <c r="A479">
        <v>468</v>
      </c>
      <c r="B479" t="str">
        <v>23*02*2026</v>
      </c>
      <c r="C479">
        <v>633</v>
      </c>
      <c r="D479">
        <v>150000</v>
      </c>
      <c r="F479">
        <f>F478+E478-D479</f>
        <v>110639</v>
      </c>
    </row>
    <row r="480">
      <c r="A480">
        <v>469</v>
      </c>
      <c r="B480" t="str">
        <v>25*02*2026</v>
      </c>
      <c r="C480" t="str">
        <v>SHAKTHI</v>
      </c>
      <c r="E480">
        <v>300000</v>
      </c>
      <c r="F480">
        <f>F479+E479-D480</f>
        <v>110639</v>
      </c>
    </row>
    <row r="481">
      <c r="A481">
        <v>470</v>
      </c>
      <c r="C481">
        <v>631</v>
      </c>
      <c r="D481">
        <v>40400</v>
      </c>
      <c r="F481">
        <f>F480+E480-D481</f>
        <v>370239</v>
      </c>
    </row>
    <row r="482">
      <c r="A482">
        <v>471</v>
      </c>
      <c r="C482">
        <v>635</v>
      </c>
      <c r="D482">
        <v>18200</v>
      </c>
      <c r="F482">
        <f>F481+E481-D482</f>
        <v>352039</v>
      </c>
    </row>
    <row r="483">
      <c r="A483">
        <v>472</v>
      </c>
      <c r="C483">
        <v>634</v>
      </c>
      <c r="D483">
        <v>23700</v>
      </c>
      <c r="F483">
        <f>F482+E482-D483</f>
        <v>328339</v>
      </c>
    </row>
    <row r="484">
      <c r="A484">
        <v>473</v>
      </c>
      <c r="C484">
        <v>640</v>
      </c>
      <c r="D484">
        <v>49100</v>
      </c>
      <c r="F484">
        <f>F483+E483-D484</f>
        <v>279239</v>
      </c>
    </row>
    <row r="485">
      <c r="A485">
        <v>474</v>
      </c>
      <c r="C485">
        <v>630</v>
      </c>
      <c r="D485">
        <v>42400</v>
      </c>
      <c r="F485">
        <f>F484+E484-D485</f>
        <v>236839</v>
      </c>
    </row>
    <row r="486">
      <c r="A486">
        <v>475</v>
      </c>
      <c r="B486" t="str">
        <v>25*02*2026</v>
      </c>
      <c r="C486" t="str">
        <v>SHAKTHI</v>
      </c>
      <c r="E486">
        <v>200000</v>
      </c>
      <c r="F486">
        <f>F485+E485-D486</f>
        <v>236839</v>
      </c>
    </row>
    <row r="487">
      <c r="A487">
        <v>476</v>
      </c>
      <c r="B487" t="str">
        <v>25*02*2026</v>
      </c>
      <c r="C487" t="str">
        <v>SWAMI</v>
      </c>
      <c r="D487">
        <v>100000</v>
      </c>
      <c r="F487">
        <f>F486+E486-D487</f>
        <v>336839</v>
      </c>
    </row>
    <row r="488">
      <c r="A488">
        <v>477</v>
      </c>
      <c r="B488" t="str">
        <v>26*02*2026</v>
      </c>
      <c r="C488">
        <v>633</v>
      </c>
      <c r="D488">
        <v>73000</v>
      </c>
      <c r="F488">
        <f>F487+E487-D488</f>
        <v>263839</v>
      </c>
    </row>
    <row r="489">
      <c r="A489">
        <v>478</v>
      </c>
      <c r="B489" t="str">
        <v>24*02*2026</v>
      </c>
      <c r="C489" t="str">
        <v>HAMMALI</v>
      </c>
      <c r="D489">
        <v>4700</v>
      </c>
      <c r="F489">
        <f>F488+E488-D489</f>
        <v>259139</v>
      </c>
    </row>
    <row r="490">
      <c r="A490">
        <v>479</v>
      </c>
      <c r="B490" t="str">
        <v>25*02*2026</v>
      </c>
      <c r="C490" t="str">
        <v>HAMMALI</v>
      </c>
      <c r="D490">
        <v>10800</v>
      </c>
      <c r="F490">
        <f>F489+E489-D490</f>
        <v>248339</v>
      </c>
    </row>
    <row r="491">
      <c r="A491">
        <v>480</v>
      </c>
      <c r="B491" t="str">
        <v>26*02*2026</v>
      </c>
      <c r="C491" t="str">
        <v>HAMMALI</v>
      </c>
      <c r="D491">
        <v>3000</v>
      </c>
      <c r="F491">
        <f>F490+E490-D491</f>
        <v>245339</v>
      </c>
    </row>
    <row r="492">
      <c r="A492">
        <v>481</v>
      </c>
      <c r="B492" t="str">
        <v>26*02*2026</v>
      </c>
      <c r="C492">
        <v>642</v>
      </c>
      <c r="D492">
        <v>33100</v>
      </c>
      <c r="F492">
        <f>F491+E491-D492</f>
        <v>212239</v>
      </c>
    </row>
    <row r="493">
      <c r="A493">
        <v>482</v>
      </c>
      <c r="B493" t="str">
        <v>27*02*2026</v>
      </c>
      <c r="C493">
        <v>636</v>
      </c>
      <c r="D493">
        <v>47100</v>
      </c>
      <c r="F493">
        <f>F492+E492-D493</f>
        <v>165139</v>
      </c>
    </row>
    <row r="494">
      <c r="A494">
        <v>483</v>
      </c>
      <c r="B494" t="str">
        <v>27*02*2026</v>
      </c>
      <c r="C494">
        <v>637</v>
      </c>
      <c r="D494">
        <v>70000</v>
      </c>
      <c r="F494">
        <f>F493+E493-D494</f>
        <v>95139</v>
      </c>
    </row>
    <row r="495">
      <c r="A495">
        <v>484</v>
      </c>
      <c r="B495" t="str">
        <v>27*02*2026</v>
      </c>
      <c r="C495" t="str">
        <v>SHAKTHI</v>
      </c>
      <c r="E495">
        <v>100000</v>
      </c>
      <c r="F495">
        <f>F494+E494-D495</f>
        <v>95139</v>
      </c>
    </row>
    <row r="496">
      <c r="A496">
        <v>485</v>
      </c>
      <c r="B496" t="str">
        <v>27*02*2026</v>
      </c>
      <c r="C496">
        <v>641</v>
      </c>
      <c r="D496">
        <v>80000</v>
      </c>
      <c r="F496">
        <f>F495+E495-D496</f>
        <v>115139</v>
      </c>
    </row>
    <row r="497">
      <c r="A497">
        <v>486</v>
      </c>
      <c r="B497" t="str">
        <v>27*02*2026</v>
      </c>
      <c r="C497">
        <v>643</v>
      </c>
      <c r="D497">
        <v>10000</v>
      </c>
      <c r="F497">
        <f>F496+E496-D497</f>
        <v>105139</v>
      </c>
    </row>
    <row r="498">
      <c r="A498">
        <v>487</v>
      </c>
      <c r="B498" t="str">
        <v>27*02*2026</v>
      </c>
      <c r="C498" t="str">
        <v>LORRY</v>
      </c>
      <c r="D498">
        <v>3000</v>
      </c>
      <c r="F498">
        <f>F497+E497-D498</f>
        <v>102139</v>
      </c>
    </row>
    <row r="499">
      <c r="A499">
        <v>488</v>
      </c>
      <c r="B499" t="str">
        <v>27*02*2026</v>
      </c>
      <c r="C499" t="str">
        <v>HAMMALI</v>
      </c>
      <c r="D499">
        <v>10000</v>
      </c>
      <c r="F499">
        <f>F498+E498-D499</f>
        <v>92139</v>
      </c>
    </row>
    <row r="500">
      <c r="A500">
        <v>489</v>
      </c>
      <c r="B500" t="str">
        <v>28*02*2026</v>
      </c>
      <c r="C500" t="str">
        <v>2500 BAGS</v>
      </c>
      <c r="D500">
        <v>60000</v>
      </c>
      <c r="F500">
        <f>F499+E499-D500</f>
        <v>32139</v>
      </c>
    </row>
    <row r="501">
      <c r="A501">
        <v>490</v>
      </c>
      <c r="B501" t="str">
        <v>28*02*2026</v>
      </c>
      <c r="E501">
        <v>40000</v>
      </c>
      <c r="F501">
        <f>F500+E500-D501</f>
        <v>32139</v>
      </c>
    </row>
    <row r="502">
      <c r="A502">
        <v>491</v>
      </c>
      <c r="B502" t="str">
        <v>28*02*2026</v>
      </c>
      <c r="C502">
        <v>644</v>
      </c>
      <c r="D502">
        <v>17100</v>
      </c>
      <c r="F502">
        <f>F501+E501-D502</f>
        <v>55039</v>
      </c>
    </row>
    <row r="503">
      <c r="A503">
        <v>492</v>
      </c>
      <c r="C503" t="str">
        <v>SWAMI HAMMALI</v>
      </c>
      <c r="D503">
        <v>6000</v>
      </c>
      <c r="F503">
        <f>F502+E502-D503</f>
        <v>49039</v>
      </c>
    </row>
    <row r="504">
      <c r="A504">
        <v>493</v>
      </c>
      <c r="B504" t="str">
        <v>28*02*2026</v>
      </c>
      <c r="C504" t="str">
        <v>HAMMALI</v>
      </c>
      <c r="D504">
        <v>2800</v>
      </c>
      <c r="F504">
        <f>F503+E503-D504</f>
        <v>46239</v>
      </c>
    </row>
    <row r="505">
      <c r="A505">
        <v>494</v>
      </c>
      <c r="B505" t="str">
        <v>01*03*2026</v>
      </c>
      <c r="C505" t="str">
        <v>HAMMALI</v>
      </c>
      <c r="D505">
        <v>2100</v>
      </c>
      <c r="F505">
        <f>F504+E504-D505</f>
        <v>44139</v>
      </c>
    </row>
    <row r="506">
      <c r="A506">
        <v>495</v>
      </c>
      <c r="B506" t="str">
        <v>02*03*2026</v>
      </c>
      <c r="C506" t="str">
        <v>SHAKTHI</v>
      </c>
      <c r="E506">
        <v>20000</v>
      </c>
      <c r="F506">
        <f>F505+E505-D506</f>
        <v>44139</v>
      </c>
    </row>
    <row r="507">
      <c r="A507">
        <v>496</v>
      </c>
      <c r="B507" t="str">
        <v>02*03*2026</v>
      </c>
      <c r="C507">
        <v>647</v>
      </c>
      <c r="D507">
        <v>16200</v>
      </c>
      <c r="F507">
        <f>F506+E506-D507</f>
        <v>47939</v>
      </c>
    </row>
    <row r="508">
      <c r="A508">
        <v>497</v>
      </c>
      <c r="B508" t="str">
        <v>02*03*2026</v>
      </c>
      <c r="C508" t="str">
        <v>HAMMALI</v>
      </c>
      <c r="D508">
        <v>2800</v>
      </c>
      <c r="F508">
        <f>F507+E507-D508</f>
        <v>45139</v>
      </c>
    </row>
    <row r="509">
      <c r="A509">
        <v>498</v>
      </c>
      <c r="B509" t="str">
        <v>03*03*2026</v>
      </c>
      <c r="C509" t="str">
        <v>SHAKTHI</v>
      </c>
      <c r="E509">
        <v>140000</v>
      </c>
      <c r="F509">
        <f>F508+E508-D509</f>
        <v>45139</v>
      </c>
    </row>
    <row r="510">
      <c r="A510">
        <v>499</v>
      </c>
      <c r="B510" t="str">
        <v>03*03*2026</v>
      </c>
      <c r="C510">
        <v>643</v>
      </c>
      <c r="D510">
        <v>125000</v>
      </c>
      <c r="F510">
        <f>F509+E509-D510</f>
        <v>60139</v>
      </c>
    </row>
    <row r="511">
      <c r="A511">
        <v>500</v>
      </c>
      <c r="B511" t="str">
        <v>03*03*2026</v>
      </c>
      <c r="C511" t="str">
        <v>HAMMALI</v>
      </c>
      <c r="D511">
        <v>17750</v>
      </c>
      <c r="F511">
        <f>F510+E510-D511</f>
        <v>42389</v>
      </c>
    </row>
    <row r="512">
      <c r="A512">
        <v>501</v>
      </c>
      <c r="B512" t="str">
        <v>04*03*2026</v>
      </c>
      <c r="C512">
        <v>654</v>
      </c>
      <c r="D512">
        <v>3000</v>
      </c>
      <c r="F512">
        <f>F511+E511-D512</f>
        <v>39389</v>
      </c>
    </row>
    <row r="513">
      <c r="A513">
        <v>502</v>
      </c>
      <c r="B513" t="str">
        <v>04*03*2026</v>
      </c>
      <c r="C513" t="str">
        <v>HAMMALI</v>
      </c>
      <c r="D513">
        <v>8100</v>
      </c>
      <c r="F513">
        <f>F512+E512-D513</f>
        <v>31289</v>
      </c>
    </row>
    <row r="514">
      <c r="A514">
        <v>503</v>
      </c>
      <c r="C514" t="str">
        <v>SHAKTHI</v>
      </c>
      <c r="E514">
        <v>40000</v>
      </c>
      <c r="F514">
        <f>F513+E513-D514</f>
        <v>31289</v>
      </c>
    </row>
    <row r="515">
      <c r="A515">
        <v>504</v>
      </c>
      <c r="F515">
        <f>F514+E514-D515</f>
        <v>71289</v>
      </c>
    </row>
    <row r="516">
      <c r="A516">
        <v>505</v>
      </c>
      <c r="F516">
        <f>F515+E515-D516</f>
        <v>71289</v>
      </c>
    </row>
    <row r="517">
      <c r="A517">
        <v>506</v>
      </c>
      <c r="F517">
        <f>F516+E516-D517</f>
        <v>71289</v>
      </c>
    </row>
    <row r="518">
      <c r="A518">
        <v>507</v>
      </c>
      <c r="F518">
        <f>F517+E517-D518</f>
        <v>71289</v>
      </c>
    </row>
    <row r="519">
      <c r="A519">
        <v>508</v>
      </c>
      <c r="F519">
        <f>F518+E518-D519</f>
        <v>71289</v>
      </c>
    </row>
    <row r="520">
      <c r="A520">
        <v>509</v>
      </c>
      <c r="F520">
        <f>F519+E519-D520</f>
        <v>71289</v>
      </c>
    </row>
    <row r="521">
      <c r="A521">
        <v>510</v>
      </c>
      <c r="F521">
        <f>F520+E520-D521</f>
        <v>71289</v>
      </c>
    </row>
    <row r="522">
      <c r="A522">
        <v>511</v>
      </c>
      <c r="F522">
        <f>F521+E521-D522</f>
        <v>71289</v>
      </c>
    </row>
    <row r="523">
      <c r="A523">
        <v>512</v>
      </c>
      <c r="F523">
        <f>F522+E522-D523</f>
        <v>71289</v>
      </c>
    </row>
    <row r="524">
      <c r="A524">
        <v>513</v>
      </c>
      <c r="F524">
        <f>F523+E523-D524</f>
        <v>71289</v>
      </c>
    </row>
    <row r="525">
      <c r="A525">
        <v>514</v>
      </c>
      <c r="F525">
        <f>F524+E524-D525</f>
        <v>71289</v>
      </c>
    </row>
    <row r="526">
      <c r="A526">
        <v>515</v>
      </c>
      <c r="F526">
        <f>F525+E525-D526</f>
        <v>71289</v>
      </c>
    </row>
    <row r="527">
      <c r="A527">
        <v>516</v>
      </c>
      <c r="F527">
        <f>F526+E526-D527</f>
        <v>71289</v>
      </c>
    </row>
    <row r="528">
      <c r="A528">
        <v>517</v>
      </c>
      <c r="F528">
        <f>F527+E527-D528</f>
        <v>71289</v>
      </c>
    </row>
    <row r="529">
      <c r="A529">
        <v>518</v>
      </c>
      <c r="F529">
        <f>F528+E528-D529</f>
        <v>71289</v>
      </c>
    </row>
    <row r="530">
      <c r="F530">
        <f>F529+E529-D530</f>
        <v>71289</v>
      </c>
    </row>
    <row r="531">
      <c r="F531">
        <f>F530+E530-D531</f>
        <v>71289</v>
      </c>
    </row>
  </sheetData>
  <pageMargins left="0.7" right="0.7" top="0.75" bottom="0.75" header="0.3" footer="0.3"/>
  <ignoredErrors>
    <ignoredError numberStoredAsText="1" sqref="A9:N5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9:G72"/>
  <sheetViews>
    <sheetView workbookViewId="0" rightToLeft="0"/>
  </sheetViews>
  <sheetData>
    <row r="9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</row>
    <row r="10">
      <c r="A10" t="str">
        <v xml:space="preserve">SL NO </v>
      </c>
      <c r="B10" t="str">
        <v>DATE</v>
      </c>
      <c r="C10" t="str">
        <v>PARTY</v>
      </c>
      <c r="D10" t="str">
        <v>DR</v>
      </c>
      <c r="E10" t="str">
        <v>CR</v>
      </c>
      <c r="F10" t="str">
        <v>AMOUNT</v>
      </c>
    </row>
    <row r="12">
      <c r="A12">
        <v>1</v>
      </c>
      <c r="B12" t="str">
        <v>13*10*2025</v>
      </c>
      <c r="C12" t="str">
        <v>SLT</v>
      </c>
      <c r="E12">
        <v>1500000</v>
      </c>
    </row>
    <row r="13">
      <c r="A13">
        <v>2</v>
      </c>
      <c r="C13">
        <v>448</v>
      </c>
      <c r="D13">
        <v>154000</v>
      </c>
      <c r="F13">
        <f>E12-D13</f>
        <v>1346000</v>
      </c>
    </row>
    <row r="14">
      <c r="A14">
        <v>3</v>
      </c>
      <c r="C14">
        <v>462</v>
      </c>
      <c r="D14">
        <v>48900</v>
      </c>
      <c r="F14">
        <f>F13+E13-D14</f>
        <v>1297100</v>
      </c>
    </row>
    <row r="15">
      <c r="A15">
        <v>4</v>
      </c>
      <c r="C15">
        <v>461</v>
      </c>
      <c r="D15">
        <v>76600</v>
      </c>
      <c r="F15">
        <f>F14+E14-D15</f>
        <v>1220500</v>
      </c>
    </row>
    <row r="16">
      <c r="A16">
        <v>5</v>
      </c>
      <c r="C16">
        <v>463</v>
      </c>
      <c r="D16">
        <v>50000</v>
      </c>
      <c r="F16">
        <f>F15+E15-D16</f>
        <v>1170500</v>
      </c>
    </row>
    <row r="17">
      <c r="A17">
        <v>6</v>
      </c>
      <c r="C17">
        <v>464</v>
      </c>
      <c r="D17">
        <v>40700</v>
      </c>
      <c r="F17">
        <f>F16+E16-D17</f>
        <v>1129800</v>
      </c>
    </row>
    <row r="18">
      <c r="A18">
        <v>7</v>
      </c>
      <c r="C18">
        <v>465</v>
      </c>
      <c r="D18">
        <v>18300</v>
      </c>
      <c r="F18">
        <f>F17+E17-D18</f>
        <v>1111500</v>
      </c>
    </row>
    <row r="19">
      <c r="A19">
        <v>8</v>
      </c>
      <c r="C19">
        <v>458</v>
      </c>
      <c r="D19">
        <v>131800</v>
      </c>
      <c r="F19">
        <f>F18+E18-D19</f>
        <v>979700</v>
      </c>
    </row>
    <row r="20">
      <c r="A20">
        <v>9</v>
      </c>
      <c r="C20">
        <v>454</v>
      </c>
      <c r="D20">
        <v>98800</v>
      </c>
      <c r="F20">
        <f>F19+E19-D20</f>
        <v>880900</v>
      </c>
    </row>
    <row r="21">
      <c r="A21">
        <v>10</v>
      </c>
      <c r="C21">
        <v>456</v>
      </c>
      <c r="D21">
        <v>449200</v>
      </c>
      <c r="F21">
        <f>F20+E20-D21</f>
        <v>431700</v>
      </c>
    </row>
    <row r="22">
      <c r="A22">
        <v>11</v>
      </c>
      <c r="C22">
        <v>466</v>
      </c>
      <c r="D22">
        <v>62700</v>
      </c>
      <c r="F22">
        <f>F21+E21-D22</f>
        <v>369000</v>
      </c>
    </row>
    <row r="23">
      <c r="A23">
        <v>12</v>
      </c>
      <c r="C23">
        <v>467</v>
      </c>
      <c r="D23">
        <v>32300</v>
      </c>
      <c r="F23">
        <f>F22+E22-D23</f>
        <v>336700</v>
      </c>
    </row>
    <row r="24">
      <c r="A24">
        <v>13</v>
      </c>
      <c r="C24">
        <v>469</v>
      </c>
      <c r="D24">
        <v>16000</v>
      </c>
      <c r="F24">
        <f>F23+E23-D24</f>
        <v>320700</v>
      </c>
    </row>
    <row r="25">
      <c r="A25">
        <v>14</v>
      </c>
      <c r="C25">
        <v>471</v>
      </c>
      <c r="D25">
        <v>18500</v>
      </c>
      <c r="F25">
        <f>F24+E24-D25</f>
        <v>302200</v>
      </c>
    </row>
    <row r="26">
      <c r="A26">
        <v>15</v>
      </c>
      <c r="C26">
        <v>442</v>
      </c>
      <c r="D26">
        <v>94000</v>
      </c>
      <c r="F26">
        <f>F25+E25-D26</f>
        <v>208200</v>
      </c>
    </row>
    <row r="27">
      <c r="A27">
        <v>16</v>
      </c>
      <c r="C27">
        <v>417</v>
      </c>
      <c r="D27">
        <v>87300</v>
      </c>
      <c r="F27">
        <f>F26+E26-D27</f>
        <v>120900</v>
      </c>
    </row>
    <row r="28">
      <c r="A28">
        <v>17</v>
      </c>
      <c r="C28">
        <v>331</v>
      </c>
      <c r="D28">
        <v>100000</v>
      </c>
      <c r="F28">
        <f>F27+E27-D28</f>
        <v>20900</v>
      </c>
    </row>
    <row r="29">
      <c r="A29">
        <v>18</v>
      </c>
      <c r="C29" t="str">
        <v>HAMMALI</v>
      </c>
      <c r="D29">
        <v>20000</v>
      </c>
      <c r="F29">
        <f>F28+E28-D29</f>
        <v>900</v>
      </c>
    </row>
    <row r="30">
      <c r="A30">
        <v>19</v>
      </c>
      <c r="C30" t="str">
        <v>HARISH</v>
      </c>
      <c r="E30">
        <v>1050000</v>
      </c>
      <c r="F30">
        <f>F29+E29-D30</f>
        <v>900</v>
      </c>
    </row>
    <row r="31">
      <c r="A31">
        <v>20</v>
      </c>
      <c r="C31" t="str">
        <v>HARISH</v>
      </c>
      <c r="E31">
        <v>500000</v>
      </c>
      <c r="F31">
        <f>F30+E30-D31</f>
        <v>1050900</v>
      </c>
    </row>
    <row r="32">
      <c r="A32">
        <v>21</v>
      </c>
      <c r="C32" t="str">
        <v>SIDDANNA</v>
      </c>
      <c r="D32">
        <v>500000</v>
      </c>
      <c r="F32">
        <f>F31+E31-D32</f>
        <v>1050900</v>
      </c>
    </row>
    <row r="33">
      <c r="A33">
        <v>22</v>
      </c>
      <c r="C33" t="str">
        <v>H\482</v>
      </c>
      <c r="D33">
        <v>52300</v>
      </c>
      <c r="F33">
        <f>F32+E32-D33</f>
        <v>998600</v>
      </c>
    </row>
    <row r="34">
      <c r="A34">
        <v>23</v>
      </c>
      <c r="C34">
        <v>453</v>
      </c>
      <c r="D34">
        <v>93000</v>
      </c>
      <c r="F34">
        <f>F33+E33-D34</f>
        <v>905600</v>
      </c>
    </row>
    <row r="35">
      <c r="A35">
        <v>24</v>
      </c>
      <c r="C35">
        <v>455</v>
      </c>
      <c r="D35">
        <v>95500</v>
      </c>
      <c r="F35">
        <f>F34+E34-D35</f>
        <v>810100</v>
      </c>
    </row>
    <row r="36">
      <c r="A36">
        <v>25</v>
      </c>
      <c r="C36">
        <v>459</v>
      </c>
      <c r="D36">
        <v>59400</v>
      </c>
      <c r="F36">
        <f>F35+E35-D36</f>
        <v>750700</v>
      </c>
    </row>
    <row r="37">
      <c r="A37">
        <v>26</v>
      </c>
      <c r="C37">
        <v>332</v>
      </c>
      <c r="D37">
        <v>50000</v>
      </c>
      <c r="F37">
        <f>F36+E36-D37</f>
        <v>700700</v>
      </c>
    </row>
    <row r="38">
      <c r="A38">
        <v>27</v>
      </c>
      <c r="C38">
        <v>481</v>
      </c>
      <c r="D38">
        <v>28000</v>
      </c>
      <c r="F38">
        <f>F37+E37-D38</f>
        <v>672700</v>
      </c>
    </row>
    <row r="39">
      <c r="A39">
        <v>28</v>
      </c>
      <c r="C39">
        <v>478</v>
      </c>
      <c r="D39">
        <v>20000</v>
      </c>
      <c r="F39">
        <f>F38+E38-D39</f>
        <v>652700</v>
      </c>
    </row>
    <row r="40">
      <c r="A40">
        <v>29</v>
      </c>
      <c r="C40">
        <v>16</v>
      </c>
      <c r="D40">
        <v>440600</v>
      </c>
      <c r="F40">
        <f>F39+E39-D40</f>
        <v>212100</v>
      </c>
    </row>
    <row r="41">
      <c r="A41">
        <v>30</v>
      </c>
      <c r="C41">
        <v>484</v>
      </c>
      <c r="D41">
        <v>3300</v>
      </c>
      <c r="F41">
        <f>F40+E40-D41</f>
        <v>208800</v>
      </c>
    </row>
    <row r="42">
      <c r="A42">
        <v>31</v>
      </c>
      <c r="C42">
        <v>483</v>
      </c>
      <c r="D42">
        <v>10000</v>
      </c>
      <c r="F42">
        <f>F41+E41-D42</f>
        <v>198800</v>
      </c>
    </row>
    <row r="43">
      <c r="A43">
        <v>32</v>
      </c>
      <c r="C43">
        <v>474</v>
      </c>
      <c r="D43">
        <v>104800</v>
      </c>
      <c r="F43">
        <f>F42+E42-D43</f>
        <v>94000</v>
      </c>
    </row>
    <row r="44">
      <c r="A44">
        <v>33</v>
      </c>
      <c r="B44" t="str">
        <v>12*02*2026</v>
      </c>
      <c r="C44" t="str">
        <v>OM SRI SHAKTHI</v>
      </c>
      <c r="E44">
        <v>40000</v>
      </c>
      <c r="F44">
        <f>F43+E43-D44</f>
        <v>94000</v>
      </c>
    </row>
    <row r="45">
      <c r="A45">
        <v>34</v>
      </c>
      <c r="F45">
        <f>F44+E44-D45</f>
        <v>134000</v>
      </c>
    </row>
    <row r="46">
      <c r="A46">
        <v>35</v>
      </c>
      <c r="F46">
        <f>F45+E45-D46</f>
        <v>134000</v>
      </c>
    </row>
    <row r="47">
      <c r="A47">
        <v>36</v>
      </c>
      <c r="F47">
        <f>F46+E46-D47</f>
        <v>134000</v>
      </c>
    </row>
    <row r="48">
      <c r="A48">
        <v>37</v>
      </c>
      <c r="F48">
        <f>F47+E47-D48</f>
        <v>134000</v>
      </c>
    </row>
    <row r="49">
      <c r="A49">
        <v>38</v>
      </c>
      <c r="F49">
        <f>F48+E48-D49</f>
        <v>134000</v>
      </c>
    </row>
    <row r="50">
      <c r="A50">
        <v>39</v>
      </c>
      <c r="B50" t="str">
        <v>.</v>
      </c>
      <c r="F50">
        <f>F49+E49-D50</f>
        <v>134000</v>
      </c>
    </row>
    <row r="51">
      <c r="A51">
        <v>40</v>
      </c>
      <c r="F51">
        <f>F50+E50-D51</f>
        <v>134000</v>
      </c>
    </row>
    <row r="52">
      <c r="A52">
        <v>41</v>
      </c>
      <c r="F52">
        <f>F51+E51-D52</f>
        <v>134000</v>
      </c>
    </row>
    <row r="53">
      <c r="A53">
        <v>42</v>
      </c>
      <c r="B53" t="str">
        <v>.</v>
      </c>
      <c r="F53">
        <f>F52+E52-D53</f>
        <v>134000</v>
      </c>
    </row>
    <row r="54">
      <c r="A54">
        <v>43</v>
      </c>
      <c r="F54">
        <f>F53+E53-D54</f>
        <v>134000</v>
      </c>
    </row>
    <row r="55">
      <c r="A55">
        <v>44</v>
      </c>
      <c r="B55" t="str">
        <v>.</v>
      </c>
      <c r="F55">
        <f>F54+E54-D55</f>
        <v>134000</v>
      </c>
    </row>
    <row r="56">
      <c r="A56">
        <v>45</v>
      </c>
      <c r="F56">
        <f>F55+E55-D56</f>
        <v>134000</v>
      </c>
    </row>
    <row r="57">
      <c r="A57">
        <v>46</v>
      </c>
      <c r="F57">
        <f>F56+E56-D57</f>
        <v>134000</v>
      </c>
    </row>
    <row r="58">
      <c r="A58">
        <v>47</v>
      </c>
    </row>
    <row r="59">
      <c r="A59">
        <v>48</v>
      </c>
    </row>
    <row r="60">
      <c r="A60">
        <v>49</v>
      </c>
    </row>
    <row r="61">
      <c r="A61">
        <v>50</v>
      </c>
    </row>
  </sheetData>
  <pageMargins left="0.7" right="0.7" top="0.75" bottom="0.75" header="0.3" footer="0.3"/>
  <ignoredErrors>
    <ignoredError numberStoredAsText="1" sqref="A9:G7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4:M32"/>
  <sheetViews>
    <sheetView workbookViewId="0" rightToLeft="0"/>
  </sheetViews>
  <sheetData>
    <row r="4">
      <c r="A4" t="str">
        <v>Home Cash</v>
      </c>
      <c r="K4" t="str">
        <v>UNCLE</v>
      </c>
    </row>
    <row r="6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K6" t="str">
        <v>SL.NO</v>
      </c>
      <c r="L6" t="str">
        <v>AMOUNT</v>
      </c>
    </row>
    <row r="7">
      <c r="A7" t="str">
        <v xml:space="preserve">SL NO </v>
      </c>
      <c r="B7" t="str">
        <v>DATE</v>
      </c>
      <c r="C7" t="str">
        <v>PARTY</v>
      </c>
      <c r="D7" t="str">
        <v>DR</v>
      </c>
      <c r="E7" t="str">
        <v>CR</v>
      </c>
      <c r="F7" t="str">
        <v>AMOUNT</v>
      </c>
    </row>
    <row r="8">
      <c r="K8">
        <v>1</v>
      </c>
      <c r="L8">
        <v>1550000</v>
      </c>
    </row>
    <row r="9">
      <c r="A9">
        <v>1</v>
      </c>
      <c r="B9">
        <v>45666</v>
      </c>
      <c r="C9" t="str">
        <v>SM Star</v>
      </c>
      <c r="D9">
        <v>500000</v>
      </c>
      <c r="F9">
        <f>D9-E9</f>
        <v>500000</v>
      </c>
      <c r="K9">
        <v>2</v>
      </c>
      <c r="L9">
        <v>900000</v>
      </c>
    </row>
    <row r="10">
      <c r="A10">
        <v>2</v>
      </c>
      <c r="B10">
        <v>45757</v>
      </c>
      <c r="C10" t="str">
        <v>Hanmathappa</v>
      </c>
      <c r="E10">
        <v>500000</v>
      </c>
      <c r="F10">
        <f>F9+D10-E10</f>
        <v>0</v>
      </c>
      <c r="K10">
        <v>3</v>
      </c>
      <c r="L10">
        <v>1000000</v>
      </c>
    </row>
    <row r="11">
      <c r="A11">
        <v>3</v>
      </c>
      <c r="B11">
        <v>45940</v>
      </c>
      <c r="C11" t="str">
        <v>SM Star</v>
      </c>
      <c r="D11">
        <v>500000</v>
      </c>
      <c r="F11">
        <f>F10+D11-E11</f>
        <v>500000</v>
      </c>
    </row>
    <row r="12">
      <c r="A12">
        <v>4</v>
      </c>
      <c r="B12" t="str">
        <v>15/10/2025</v>
      </c>
      <c r="C12" t="str">
        <v>Bekari Sachin</v>
      </c>
      <c r="D12">
        <v>200000</v>
      </c>
      <c r="F12">
        <f>F11+D12-E12</f>
        <v>700000</v>
      </c>
      <c r="L12">
        <f>SUM(L8:L11)</f>
        <v>3450000</v>
      </c>
    </row>
    <row r="13">
      <c r="A13">
        <v>5</v>
      </c>
      <c r="B13" t="str">
        <v>17/10/2025</v>
      </c>
      <c r="C13" t="str">
        <v>Bharath Malnad</v>
      </c>
      <c r="D13">
        <v>100000</v>
      </c>
      <c r="F13">
        <f>F12+D13-E13</f>
        <v>800000</v>
      </c>
    </row>
    <row r="14">
      <c r="A14">
        <v>6</v>
      </c>
      <c r="B14" t="str">
        <v>25/10/2025</v>
      </c>
      <c r="C14" t="str">
        <v>Hanmathappa</v>
      </c>
      <c r="E14">
        <v>500000</v>
      </c>
      <c r="F14">
        <f>F13+D14-E14</f>
        <v>300000</v>
      </c>
      <c r="L14">
        <f>L12-4000000</f>
        <v>-550000</v>
      </c>
    </row>
    <row r="15">
      <c r="A15">
        <v>7</v>
      </c>
      <c r="B15">
        <v>45849</v>
      </c>
      <c r="C15" t="str">
        <v>RAMATHI APMC</v>
      </c>
      <c r="E15">
        <v>100000</v>
      </c>
      <c r="F15">
        <f>F14+D15-E15</f>
        <v>200000</v>
      </c>
    </row>
    <row r="16">
      <c r="A16">
        <v>8</v>
      </c>
      <c r="B16">
        <v>45911</v>
      </c>
      <c r="C16" t="str">
        <v>amma hopital</v>
      </c>
      <c r="E16">
        <v>10000</v>
      </c>
      <c r="F16">
        <f>F15+D16-E16</f>
        <v>190000</v>
      </c>
    </row>
    <row r="17">
      <c r="A17">
        <v>9</v>
      </c>
      <c r="B17">
        <v>45941</v>
      </c>
      <c r="C17" t="str">
        <v>SM Star</v>
      </c>
      <c r="D17">
        <v>500000</v>
      </c>
      <c r="F17">
        <f>F16+D17-E17</f>
        <v>690000</v>
      </c>
    </row>
    <row r="18">
      <c r="A18">
        <v>10</v>
      </c>
      <c r="B18" t="str">
        <v>11*11*2025</v>
      </c>
      <c r="C18" t="str">
        <v>Hanmathappa</v>
      </c>
      <c r="E18">
        <v>500000</v>
      </c>
      <c r="F18">
        <f>F17+D18-E18</f>
        <v>190000</v>
      </c>
    </row>
    <row r="19">
      <c r="A19">
        <v>11</v>
      </c>
      <c r="B19" t="str">
        <v>11*11*2025</v>
      </c>
      <c r="C19" t="str">
        <v>Bharath Malnad</v>
      </c>
      <c r="D19">
        <v>100000</v>
      </c>
      <c r="F19">
        <f>F18+D19-E19</f>
        <v>290000</v>
      </c>
    </row>
    <row r="20">
      <c r="A20">
        <v>12</v>
      </c>
      <c r="B20" t="str">
        <v>12*12*2025</v>
      </c>
      <c r="C20" t="str">
        <v>SM Star</v>
      </c>
      <c r="D20">
        <v>500000</v>
      </c>
      <c r="F20">
        <f>F19+D20-E20</f>
        <v>790000</v>
      </c>
    </row>
    <row r="21">
      <c r="A21">
        <v>13</v>
      </c>
      <c r="B21" t="str">
        <v>12*12*2025</v>
      </c>
      <c r="C21" t="str">
        <v>Hanmathappa</v>
      </c>
      <c r="E21">
        <v>500000</v>
      </c>
      <c r="F21">
        <f>F20+D21-E21</f>
        <v>290000</v>
      </c>
    </row>
    <row r="22">
      <c r="A22">
        <v>14</v>
      </c>
      <c r="B22" t="str">
        <v>13*12*2025</v>
      </c>
      <c r="C22" t="str">
        <v>Bharath Malnad</v>
      </c>
      <c r="D22">
        <v>100000</v>
      </c>
      <c r="F22">
        <f>F21+D22-E22</f>
        <v>390000</v>
      </c>
    </row>
    <row r="23">
      <c r="A23">
        <v>15</v>
      </c>
      <c r="B23" t="str">
        <v>12*01*2026</v>
      </c>
      <c r="C23" t="str">
        <v>SM Star</v>
      </c>
      <c r="D23">
        <v>500000</v>
      </c>
      <c r="F23">
        <f>F22+D23-E23</f>
        <v>890000</v>
      </c>
    </row>
    <row r="24">
      <c r="A24">
        <v>16</v>
      </c>
      <c r="B24" t="str">
        <v>01*01*2026</v>
      </c>
      <c r="C24" t="str">
        <v>prakash thotta</v>
      </c>
      <c r="E24">
        <v>100000</v>
      </c>
      <c r="F24">
        <f>F23+D24-E24</f>
        <v>790000</v>
      </c>
    </row>
    <row r="25">
      <c r="A25">
        <v>17</v>
      </c>
      <c r="C25" t="str">
        <v>suresh p</v>
      </c>
      <c r="D25">
        <v>900000</v>
      </c>
      <c r="F25">
        <f>F24+D25-E25</f>
        <v>1690000</v>
      </c>
    </row>
    <row r="26">
      <c r="A26">
        <v>18</v>
      </c>
      <c r="C26" t="str">
        <v>suresh h</v>
      </c>
      <c r="D26">
        <v>1000000</v>
      </c>
      <c r="F26">
        <f>F25+D26-E26</f>
        <v>2690000</v>
      </c>
    </row>
    <row r="27">
      <c r="A27">
        <v>19</v>
      </c>
      <c r="B27" t="str">
        <v>19*01*2026</v>
      </c>
      <c r="C27" t="str">
        <v>TROCTOR</v>
      </c>
      <c r="E27">
        <v>540000</v>
      </c>
      <c r="F27">
        <f>F26+D27-E27</f>
        <v>2150000</v>
      </c>
    </row>
    <row r="28">
      <c r="B28" t="str">
        <v>10*02*2026</v>
      </c>
      <c r="C28" t="str">
        <v>SM Star</v>
      </c>
      <c r="D28">
        <v>400000</v>
      </c>
      <c r="F28">
        <f>F27+D28-E28</f>
        <v>2550000</v>
      </c>
    </row>
    <row r="29">
      <c r="B29" t="str">
        <v>10*02*2026</v>
      </c>
      <c r="C29" t="str">
        <v>Bharath Malnad</v>
      </c>
      <c r="D29">
        <v>100000</v>
      </c>
      <c r="F29">
        <f>F28+D29-E29</f>
        <v>2650000</v>
      </c>
    </row>
    <row r="30">
      <c r="E30">
        <v>1600000</v>
      </c>
      <c r="F30">
        <f>F29+D30-E30</f>
        <v>1050000</v>
      </c>
    </row>
    <row r="32">
      <c r="D32" t="str">
        <v>BALANCE</v>
      </c>
      <c r="E32">
        <v>2150000</v>
      </c>
    </row>
  </sheetData>
  <mergeCells count="2">
    <mergeCell ref="A4:F5"/>
    <mergeCell ref="K4:M4"/>
  </mergeCells>
  <pageMargins left="0.7" right="0.7" top="0.75" bottom="0.75" header="0.3" footer="0.3"/>
  <ignoredErrors>
    <ignoredError numberStoredAsText="1" sqref="A4:M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3:AC370"/>
  <sheetViews>
    <sheetView workbookViewId="0" rightToLeft="0"/>
  </sheetViews>
  <sheetData>
    <row r="3">
      <c r="G3">
        <f>J37+I55+I118+I202+I242</f>
        <v>12943260</v>
      </c>
    </row>
    <row r="4">
      <c r="A4" t="str">
        <v xml:space="preserve">TUFAN </v>
      </c>
    </row>
    <row r="6">
      <c r="A6" t="str">
        <v>SL.NO</v>
      </c>
      <c r="B6" t="str">
        <v xml:space="preserve">BILL NO </v>
      </c>
      <c r="C6" t="str">
        <v>DATE</v>
      </c>
      <c r="D6" t="str">
        <v>LORRY NUM</v>
      </c>
      <c r="E6" t="str">
        <v>BAGS</v>
      </c>
      <c r="F6" t="str">
        <v>NET WEIGHT</v>
      </c>
      <c r="G6" t="str">
        <v>FACTORY WIGT</v>
      </c>
      <c r="H6" t="str">
        <v>RATE</v>
      </c>
      <c r="J6" t="str">
        <v>AMOUNT</v>
      </c>
      <c r="K6" t="str">
        <v>party</v>
      </c>
      <c r="L6" t="str">
        <v>payment</v>
      </c>
      <c r="M6" t="str">
        <v>Payment date</v>
      </c>
    </row>
    <row r="10">
      <c r="A10">
        <v>1</v>
      </c>
      <c r="B10">
        <v>92</v>
      </c>
      <c r="C10" t="str">
        <v>15/10/2025</v>
      </c>
      <c r="D10" t="str">
        <v>KA/20/AB/6822</v>
      </c>
      <c r="E10">
        <v>640</v>
      </c>
      <c r="F10">
        <v>36190</v>
      </c>
      <c r="G10">
        <v>36060</v>
      </c>
      <c r="H10">
        <v>23.5</v>
      </c>
      <c r="J10">
        <f>G10*H10</f>
        <v>847410</v>
      </c>
      <c r="K10" t="str">
        <v xml:space="preserve">Tufan </v>
      </c>
      <c r="L10" t="str">
        <v>30 Days</v>
      </c>
      <c r="M10" t="str">
        <v>14/11/2025</v>
      </c>
    </row>
    <row r="11">
      <c r="A11">
        <v>2</v>
      </c>
      <c r="B11">
        <v>94</v>
      </c>
      <c r="C11" t="str">
        <v>18/10/2025</v>
      </c>
      <c r="D11" t="str">
        <v>KA/28/AB/0142</v>
      </c>
      <c r="E11">
        <v>444</v>
      </c>
      <c r="F11">
        <v>24810</v>
      </c>
      <c r="H11">
        <v>23.5</v>
      </c>
      <c r="J11">
        <f>F11*H11-I11</f>
        <v>583035</v>
      </c>
      <c r="K11" t="str">
        <v xml:space="preserve">Tufan </v>
      </c>
      <c r="L11" t="str">
        <v>30 Days</v>
      </c>
      <c r="M11" t="str">
        <v>17/11/2025</v>
      </c>
    </row>
    <row r="12">
      <c r="A12">
        <v>3</v>
      </c>
      <c r="B12">
        <v>95</v>
      </c>
      <c r="C12" t="str">
        <v>20/10/2025</v>
      </c>
      <c r="D12" t="str">
        <v>KA/20/AB/6822</v>
      </c>
      <c r="E12">
        <v>590</v>
      </c>
      <c r="F12">
        <v>33670</v>
      </c>
      <c r="G12">
        <v>33700</v>
      </c>
      <c r="H12">
        <v>23.5</v>
      </c>
      <c r="J12">
        <f>F12*H12-I12</f>
        <v>791245</v>
      </c>
      <c r="K12" t="str">
        <v xml:space="preserve">Tufan </v>
      </c>
      <c r="L12" t="str">
        <v>30 dAYS</v>
      </c>
      <c r="M12" t="str">
        <v>19/11/2025</v>
      </c>
    </row>
    <row r="13">
      <c r="A13">
        <v>4</v>
      </c>
      <c r="B13">
        <v>96</v>
      </c>
      <c r="C13" t="str">
        <v>26/10/2025</v>
      </c>
      <c r="D13" t="str">
        <v>KA/20/AB/6822</v>
      </c>
      <c r="E13">
        <v>673</v>
      </c>
      <c r="F13">
        <v>39020</v>
      </c>
      <c r="G13">
        <v>39000</v>
      </c>
      <c r="H13">
        <v>23</v>
      </c>
      <c r="J13">
        <f>F13*H13-I13</f>
        <v>897460</v>
      </c>
      <c r="K13" t="str">
        <v xml:space="preserve">Tufan </v>
      </c>
      <c r="L13" t="str">
        <v>30 Days</v>
      </c>
      <c r="M13" t="str">
        <v>25/11/2025</v>
      </c>
    </row>
    <row r="14">
      <c r="A14">
        <v>5</v>
      </c>
      <c r="B14">
        <v>97</v>
      </c>
      <c r="C14">
        <v>45668</v>
      </c>
      <c r="D14" t="str">
        <v>KA/20/AB/6822</v>
      </c>
      <c r="E14">
        <v>635</v>
      </c>
      <c r="F14">
        <v>36850</v>
      </c>
      <c r="G14">
        <v>36840</v>
      </c>
      <c r="H14">
        <v>23</v>
      </c>
      <c r="J14">
        <f>F14*H14-I14</f>
        <v>847550</v>
      </c>
      <c r="K14" t="str">
        <v xml:space="preserve">Tufan </v>
      </c>
      <c r="L14" t="str">
        <v>30 Days</v>
      </c>
      <c r="M14">
        <v>45700</v>
      </c>
    </row>
    <row r="15">
      <c r="A15">
        <v>6</v>
      </c>
      <c r="B15">
        <v>98</v>
      </c>
      <c r="C15">
        <v>45788</v>
      </c>
      <c r="D15" t="str">
        <v>KA/20/AB/6822</v>
      </c>
      <c r="E15">
        <v>640</v>
      </c>
      <c r="F15">
        <v>37320</v>
      </c>
      <c r="G15">
        <v>37230</v>
      </c>
      <c r="H15">
        <v>22</v>
      </c>
      <c r="J15">
        <f>F15*H15-I15</f>
        <v>821040</v>
      </c>
      <c r="K15" t="str">
        <v xml:space="preserve">Tufan </v>
      </c>
      <c r="L15" t="str">
        <v>30 Days</v>
      </c>
      <c r="M15">
        <v>45789</v>
      </c>
    </row>
    <row r="16">
      <c r="A16">
        <v>7</v>
      </c>
      <c r="B16">
        <v>101</v>
      </c>
      <c r="C16">
        <v>45911</v>
      </c>
      <c r="D16" t="str">
        <v>KA-20-AB-6822</v>
      </c>
      <c r="E16">
        <v>652</v>
      </c>
      <c r="F16">
        <v>37780</v>
      </c>
      <c r="H16">
        <v>22</v>
      </c>
      <c r="J16">
        <f>F16*H16-I16</f>
        <v>831160</v>
      </c>
      <c r="K16" t="str">
        <v xml:space="preserve">Tufan </v>
      </c>
      <c r="L16" t="str">
        <v>30 dAYS</v>
      </c>
      <c r="M16">
        <v>45850</v>
      </c>
    </row>
    <row r="17">
      <c r="A17">
        <v>8</v>
      </c>
      <c r="B17">
        <v>103</v>
      </c>
      <c r="C17">
        <v>45941</v>
      </c>
      <c r="D17" t="str">
        <v>KA-48-A-3219</v>
      </c>
      <c r="E17">
        <v>661</v>
      </c>
      <c r="F17">
        <v>38160</v>
      </c>
      <c r="G17">
        <v>38150</v>
      </c>
      <c r="H17">
        <v>22</v>
      </c>
      <c r="J17">
        <f>F17*H17-I17</f>
        <v>839520</v>
      </c>
      <c r="K17" t="str">
        <v xml:space="preserve">Tufan </v>
      </c>
      <c r="L17" t="str">
        <v>30 DAYS</v>
      </c>
      <c r="M17">
        <v>45881</v>
      </c>
    </row>
    <row r="18">
      <c r="A18">
        <v>9</v>
      </c>
      <c r="B18">
        <v>110</v>
      </c>
      <c r="C18" t="str">
        <v>18/11/2025</v>
      </c>
      <c r="D18" t="str">
        <v>KA-20-AB-6822</v>
      </c>
      <c r="E18">
        <v>645</v>
      </c>
      <c r="F18">
        <v>36840</v>
      </c>
      <c r="H18">
        <v>20.8</v>
      </c>
      <c r="J18">
        <f>F18*H18-I18</f>
        <v>766272</v>
      </c>
      <c r="K18" t="str">
        <v xml:space="preserve">Tufan </v>
      </c>
      <c r="L18" t="str">
        <v>30 Days</v>
      </c>
      <c r="M18" t="str">
        <v>18/12/2025</v>
      </c>
    </row>
    <row r="19">
      <c r="A19">
        <v>10</v>
      </c>
      <c r="B19">
        <v>117</v>
      </c>
      <c r="C19" t="str">
        <v>11*12*2025</v>
      </c>
      <c r="D19" t="str">
        <v>KA-20-AB-6822</v>
      </c>
      <c r="E19">
        <v>670</v>
      </c>
      <c r="F19">
        <v>38770</v>
      </c>
      <c r="H19">
        <v>22.5</v>
      </c>
      <c r="J19">
        <f>F19*H19-I19</f>
        <v>872325</v>
      </c>
      <c r="K19" t="str">
        <v xml:space="preserve">Tufan </v>
      </c>
      <c r="L19" t="str">
        <v>30 Days</v>
      </c>
      <c r="M19" t="str">
        <v>10*01*2025</v>
      </c>
    </row>
    <row r="20">
      <c r="A20">
        <v>11</v>
      </c>
      <c r="B20">
        <v>119</v>
      </c>
      <c r="C20" t="str">
        <v>13*12*2025</v>
      </c>
      <c r="D20" t="str">
        <v>KA-20-AB-6822</v>
      </c>
      <c r="E20">
        <v>691</v>
      </c>
      <c r="F20">
        <v>40640</v>
      </c>
      <c r="H20">
        <v>22</v>
      </c>
      <c r="J20">
        <f>F20*H20-I20</f>
        <v>894080</v>
      </c>
      <c r="K20" t="str">
        <v xml:space="preserve">Tufan </v>
      </c>
      <c r="L20" t="str">
        <v>30 Days</v>
      </c>
      <c r="M20" t="str">
        <v>12*01*2025</v>
      </c>
      <c r="AC20" t="str">
        <v xml:space="preserve"> </v>
      </c>
    </row>
    <row r="21">
      <c r="A21">
        <v>12</v>
      </c>
      <c r="B21">
        <v>120</v>
      </c>
      <c r="C21" t="str">
        <v>17*12*2025</v>
      </c>
      <c r="D21" t="str">
        <v>AP-26-TF-5640</v>
      </c>
      <c r="E21">
        <v>470</v>
      </c>
      <c r="F21">
        <v>26940</v>
      </c>
      <c r="H21">
        <v>22</v>
      </c>
      <c r="J21">
        <f>F21*H21-I21</f>
        <v>592680</v>
      </c>
      <c r="K21" t="str">
        <v xml:space="preserve">Tufan </v>
      </c>
      <c r="L21" t="str">
        <v>30 Days</v>
      </c>
      <c r="M21" t="str">
        <v>17*01*2025</v>
      </c>
    </row>
    <row r="22">
      <c r="A22">
        <v>13</v>
      </c>
      <c r="B22">
        <v>121</v>
      </c>
      <c r="C22" t="str">
        <v>18*12*2025</v>
      </c>
      <c r="D22" t="str">
        <v>KA-14-C-0458</v>
      </c>
      <c r="E22">
        <v>691</v>
      </c>
      <c r="F22">
        <v>40640</v>
      </c>
      <c r="H22">
        <v>22</v>
      </c>
      <c r="J22">
        <f>F22*H22-I22</f>
        <v>894080</v>
      </c>
      <c r="K22" t="str">
        <v xml:space="preserve">Tufan </v>
      </c>
      <c r="L22" t="str">
        <v>30 Days</v>
      </c>
      <c r="M22" t="str">
        <v>18*01*2025</v>
      </c>
    </row>
    <row r="23">
      <c r="A23">
        <v>14</v>
      </c>
      <c r="B23">
        <v>122</v>
      </c>
      <c r="C23" t="str">
        <v>23*12*2025</v>
      </c>
      <c r="D23" t="str">
        <v>AP-26-TF-5640</v>
      </c>
      <c r="E23">
        <v>491</v>
      </c>
      <c r="F23">
        <v>28100</v>
      </c>
      <c r="H23">
        <v>21.3</v>
      </c>
      <c r="J23">
        <f>F23*H23-I23</f>
        <v>598530</v>
      </c>
      <c r="K23" t="str">
        <v xml:space="preserve">Tufan </v>
      </c>
      <c r="L23" t="str">
        <v>30 Days</v>
      </c>
      <c r="M23" t="str">
        <v>23*01*2025</v>
      </c>
    </row>
    <row r="24">
      <c r="A24">
        <v>15</v>
      </c>
      <c r="B24">
        <v>123</v>
      </c>
      <c r="C24" t="str">
        <v>26*12*2025</v>
      </c>
      <c r="D24" t="str">
        <v>KA-20-AB-6822</v>
      </c>
      <c r="E24">
        <v>706</v>
      </c>
      <c r="F24">
        <v>40960</v>
      </c>
      <c r="G24">
        <v>40930</v>
      </c>
      <c r="H24">
        <v>21.3</v>
      </c>
      <c r="J24">
        <f>F24*H24-I24</f>
        <v>872448</v>
      </c>
      <c r="K24" t="str">
        <v xml:space="preserve">Tufan </v>
      </c>
      <c r="L24" t="str">
        <v>30 Days</v>
      </c>
      <c r="M24" t="str">
        <v>26*01*2025</v>
      </c>
    </row>
    <row r="25">
      <c r="A25">
        <v>16</v>
      </c>
      <c r="B25">
        <v>124</v>
      </c>
      <c r="C25" t="str">
        <v>28*12*2025</v>
      </c>
      <c r="D25" t="str">
        <v>KA-20-AB-6822</v>
      </c>
      <c r="E25">
        <v>705</v>
      </c>
      <c r="F25">
        <v>41300</v>
      </c>
      <c r="H25">
        <v>21.3</v>
      </c>
      <c r="J25">
        <f>F25*H25-I25</f>
        <v>879690</v>
      </c>
      <c r="K25" t="str">
        <v xml:space="preserve">Tufan </v>
      </c>
      <c r="L25" t="str">
        <v>30 Days</v>
      </c>
      <c r="M25" t="str">
        <v>28*01*2026</v>
      </c>
    </row>
    <row r="26">
      <c r="A26">
        <v>17</v>
      </c>
      <c r="B26">
        <v>14</v>
      </c>
      <c r="C26" t="str">
        <v>1*1*2026</v>
      </c>
      <c r="D26" t="str">
        <v>KA-20-AB-6822</v>
      </c>
      <c r="E26">
        <v>730</v>
      </c>
      <c r="F26">
        <v>41510</v>
      </c>
      <c r="H26">
        <v>21.3</v>
      </c>
      <c r="J26">
        <f>F26*H26-I26</f>
        <v>884163</v>
      </c>
      <c r="K26" t="str">
        <v xml:space="preserve">Tufan </v>
      </c>
      <c r="L26" t="str">
        <v>30 Days</v>
      </c>
      <c r="M26" t="str">
        <v>1*02*2026</v>
      </c>
    </row>
    <row r="27">
      <c r="A27">
        <v>18</v>
      </c>
      <c r="B27">
        <v>18</v>
      </c>
      <c r="C27" t="str">
        <v>23*01*2026</v>
      </c>
      <c r="D27" t="str">
        <v>KA-21-B-2352</v>
      </c>
      <c r="E27">
        <v>460</v>
      </c>
      <c r="F27">
        <v>26260</v>
      </c>
      <c r="G27">
        <f>F27*20.5</f>
        <v>538330</v>
      </c>
      <c r="H27">
        <v>20.8</v>
      </c>
      <c r="J27">
        <f>F27*H27-I27</f>
        <v>546208</v>
      </c>
      <c r="K27" t="str">
        <v xml:space="preserve">Tufan </v>
      </c>
      <c r="L27" t="str">
        <v>30 Days</v>
      </c>
      <c r="M27" t="str">
        <v>23*02*2026</v>
      </c>
    </row>
    <row r="28">
      <c r="A28">
        <v>19</v>
      </c>
      <c r="B28">
        <v>19</v>
      </c>
      <c r="C28" t="str">
        <v>23*01*2026</v>
      </c>
      <c r="D28" t="str">
        <v>KA-21-B-2352</v>
      </c>
      <c r="E28">
        <v>680</v>
      </c>
      <c r="F28">
        <v>39050</v>
      </c>
      <c r="G28">
        <f>F28*20.5</f>
        <v>800525</v>
      </c>
      <c r="H28">
        <v>20.8</v>
      </c>
      <c r="J28">
        <f>F28*H28-I28</f>
        <v>812240</v>
      </c>
      <c r="K28" t="str">
        <v xml:space="preserve">Tufan </v>
      </c>
      <c r="L28" t="str">
        <v>30 Days</v>
      </c>
      <c r="M28" t="str">
        <v>23*02*2026</v>
      </c>
    </row>
    <row r="29">
      <c r="A29">
        <v>20</v>
      </c>
      <c r="B29">
        <v>20</v>
      </c>
      <c r="C29" t="str">
        <v>25*01*2026</v>
      </c>
      <c r="D29" t="str">
        <v>KA -23-B-5344</v>
      </c>
      <c r="E29">
        <v>620</v>
      </c>
      <c r="F29">
        <v>36280</v>
      </c>
      <c r="G29">
        <f>F29*20.5</f>
        <v>743740</v>
      </c>
      <c r="H29">
        <v>20.8</v>
      </c>
      <c r="J29">
        <f>F29*H29-I29</f>
        <v>754624</v>
      </c>
      <c r="K29" t="str">
        <v xml:space="preserve">Tufan </v>
      </c>
      <c r="L29" t="str">
        <v>30 Days</v>
      </c>
      <c r="M29" t="str">
        <v>25*02*2026</v>
      </c>
      <c r="O29">
        <v>251516125115251000</v>
      </c>
    </row>
    <row r="30">
      <c r="A30">
        <v>21</v>
      </c>
      <c r="B30">
        <v>22</v>
      </c>
      <c r="C30" t="str">
        <v>26*01*2026</v>
      </c>
      <c r="D30" t="str">
        <v>KA-16-C -4854</v>
      </c>
      <c r="E30">
        <v>560</v>
      </c>
      <c r="F30">
        <v>32510</v>
      </c>
      <c r="G30">
        <f>F30*20.5</f>
        <v>666455</v>
      </c>
      <c r="H30">
        <v>20.8</v>
      </c>
      <c r="J30">
        <f>F30*H30-I30</f>
        <v>676208</v>
      </c>
      <c r="K30" t="str">
        <v xml:space="preserve">Tufan </v>
      </c>
      <c r="L30" t="str">
        <v>30 DAYS</v>
      </c>
      <c r="M30" t="str">
        <v>26*02*2026</v>
      </c>
    </row>
    <row r="31">
      <c r="A31">
        <v>22</v>
      </c>
      <c r="B31">
        <v>34</v>
      </c>
      <c r="C31" t="str">
        <v>07*02*2026</v>
      </c>
      <c r="D31" t="str">
        <v>KA-20-AB-6822</v>
      </c>
      <c r="E31">
        <v>708</v>
      </c>
      <c r="F31">
        <v>40440</v>
      </c>
      <c r="G31">
        <v>40410</v>
      </c>
      <c r="H31">
        <v>20</v>
      </c>
      <c r="J31">
        <f>F31*H31-I31</f>
        <v>808800</v>
      </c>
      <c r="K31" t="str">
        <v xml:space="preserve">Tufan </v>
      </c>
      <c r="L31" t="str">
        <v>30 Days</v>
      </c>
      <c r="M31" t="str">
        <v>07*03*2026</v>
      </c>
    </row>
    <row r="32">
      <c r="A32">
        <v>23</v>
      </c>
      <c r="B32">
        <v>35</v>
      </c>
      <c r="C32" t="str">
        <v>08*02*2026</v>
      </c>
      <c r="D32" t="str">
        <v>KA-51-AA-4734</v>
      </c>
      <c r="E32">
        <v>420</v>
      </c>
      <c r="F32">
        <v>24060</v>
      </c>
      <c r="G32">
        <v>24240</v>
      </c>
      <c r="H32">
        <v>20</v>
      </c>
      <c r="J32">
        <f>F32*H32-I32</f>
        <v>481200</v>
      </c>
      <c r="K32" t="str">
        <v xml:space="preserve">Tufan </v>
      </c>
      <c r="L32" t="str">
        <v>30 Days</v>
      </c>
      <c r="M32" t="str">
        <v>08*03*2026</v>
      </c>
      <c r="O32">
        <f>4690+821</f>
        <v>5511</v>
      </c>
    </row>
    <row r="33">
      <c r="A33">
        <v>24</v>
      </c>
      <c r="B33">
        <v>43</v>
      </c>
      <c r="C33" t="str">
        <v>17*02*2026</v>
      </c>
      <c r="D33" t="str">
        <v>KA-20-AB-6822</v>
      </c>
      <c r="E33">
        <v>710</v>
      </c>
      <c r="F33">
        <v>41800</v>
      </c>
      <c r="H33">
        <v>19.3</v>
      </c>
      <c r="J33">
        <f>F33*H33-I33</f>
        <v>806740</v>
      </c>
      <c r="K33" t="str">
        <v xml:space="preserve">Tufan </v>
      </c>
      <c r="L33" t="str">
        <v>30 Days</v>
      </c>
      <c r="M33" t="str">
        <v>17*03*2026</v>
      </c>
    </row>
    <row r="34">
      <c r="A34">
        <v>25</v>
      </c>
      <c r="B34">
        <v>44</v>
      </c>
      <c r="C34" t="str">
        <v>18*02*2026</v>
      </c>
      <c r="D34" t="str">
        <v>KA-51-AA-4734</v>
      </c>
      <c r="E34">
        <v>420</v>
      </c>
      <c r="F34">
        <v>24600</v>
      </c>
      <c r="H34">
        <v>19.3</v>
      </c>
      <c r="J34">
        <f>F34*H34-I34</f>
        <v>474780</v>
      </c>
      <c r="K34" t="str">
        <v xml:space="preserve">Tufan </v>
      </c>
      <c r="L34" t="str">
        <v>30 Days</v>
      </c>
      <c r="M34" t="str">
        <v>18*03*2026</v>
      </c>
    </row>
    <row r="35">
      <c r="A35">
        <v>26</v>
      </c>
      <c r="B35">
        <v>45</v>
      </c>
      <c r="C35" t="str">
        <v>20*02*2026</v>
      </c>
      <c r="D35" t="str">
        <v>KA-01-AT-0901</v>
      </c>
      <c r="E35">
        <v>680</v>
      </c>
      <c r="F35">
        <v>38000</v>
      </c>
      <c r="H35">
        <v>19.3</v>
      </c>
      <c r="J35">
        <f>F35*H35-I35</f>
        <v>733400</v>
      </c>
      <c r="K35" t="str">
        <v xml:space="preserve">Tufan </v>
      </c>
      <c r="L35" t="str">
        <v>30 Days</v>
      </c>
      <c r="M35" t="str">
        <v>20*03*2026</v>
      </c>
    </row>
    <row r="36">
      <c r="A36">
        <v>27</v>
      </c>
    </row>
    <row r="37">
      <c r="E37">
        <f>SUM(E10:E35)</f>
        <v>15992</v>
      </c>
      <c r="F37">
        <f>SUM(F10:F35)</f>
        <v>922500</v>
      </c>
      <c r="J37">
        <f>SUM(J27:J35)</f>
        <v>6094200</v>
      </c>
    </row>
    <row r="38">
      <c r="A38" t="str">
        <v>FRESH CHOICE</v>
      </c>
    </row>
    <row r="41">
      <c r="A41" t="str">
        <v>SL.NO</v>
      </c>
      <c r="B41" t="str">
        <v>DATE</v>
      </c>
      <c r="C41" t="str">
        <v>LORRY NUM</v>
      </c>
      <c r="D41" t="str">
        <v>BAGS</v>
      </c>
      <c r="E41" t="str">
        <v>NET WEIGHT</v>
      </c>
      <c r="F41" t="str">
        <v>FACTORY WIGT</v>
      </c>
      <c r="G41" t="str">
        <v>RATE</v>
      </c>
      <c r="H41" t="str">
        <v>FLIGHT</v>
      </c>
      <c r="I41" t="str">
        <v>AMOUNT</v>
      </c>
      <c r="J41" t="str">
        <v>party</v>
      </c>
      <c r="K41" t="str">
        <v>payment</v>
      </c>
      <c r="L41" t="str">
        <v>Payment date</v>
      </c>
    </row>
    <row r="44">
      <c r="A44">
        <v>1</v>
      </c>
      <c r="B44">
        <v>45819</v>
      </c>
      <c r="C44" t="str">
        <v>KA-07-B-4940</v>
      </c>
      <c r="D44">
        <v>620</v>
      </c>
      <c r="E44">
        <v>35740</v>
      </c>
      <c r="F44">
        <v>35600</v>
      </c>
      <c r="G44">
        <v>21.5</v>
      </c>
      <c r="I44">
        <f>E44*G44-H44</f>
        <v>768410</v>
      </c>
      <c r="J44" t="str">
        <v>FRESH CHOICE</v>
      </c>
      <c r="K44" t="str">
        <v>30 Days</v>
      </c>
      <c r="L44">
        <v>45789</v>
      </c>
    </row>
    <row r="45">
      <c r="A45">
        <v>2</v>
      </c>
      <c r="B45">
        <v>45880</v>
      </c>
      <c r="C45" t="str">
        <v>KA-40-A-9012</v>
      </c>
      <c r="D45">
        <v>646</v>
      </c>
      <c r="E45">
        <v>38130</v>
      </c>
      <c r="G45">
        <v>21.5</v>
      </c>
      <c r="I45">
        <f>E45*G45-H45</f>
        <v>819795</v>
      </c>
      <c r="J45" t="str">
        <v>FRESH CHOICE</v>
      </c>
      <c r="K45" t="str">
        <v>30 Days</v>
      </c>
      <c r="L45">
        <v>45820</v>
      </c>
    </row>
    <row r="46">
      <c r="A46">
        <v>3</v>
      </c>
      <c r="B46" t="str">
        <v>26/11/2025</v>
      </c>
      <c r="C46" t="str">
        <v>KA-14-B-5518</v>
      </c>
      <c r="D46">
        <v>515</v>
      </c>
      <c r="E46">
        <v>29850</v>
      </c>
      <c r="G46">
        <v>20.7</v>
      </c>
      <c r="I46">
        <f>E46*G46-H46</f>
        <v>617895</v>
      </c>
      <c r="J46" t="str">
        <v>FRESH CHOICE</v>
      </c>
      <c r="K46" t="str">
        <v>30 Days</v>
      </c>
      <c r="L46" t="str">
        <v>26/12/2025</v>
      </c>
    </row>
    <row r="47">
      <c r="A47">
        <v>4</v>
      </c>
      <c r="B47" t="str">
        <v>05*02*2026</v>
      </c>
      <c r="C47" t="str">
        <v>KA -51-C-6363</v>
      </c>
      <c r="D47">
        <v>575</v>
      </c>
      <c r="E47">
        <v>33060</v>
      </c>
      <c r="F47">
        <v>32950</v>
      </c>
      <c r="G47">
        <v>20.5</v>
      </c>
      <c r="I47">
        <f>E47*G47-H47</f>
        <v>677730</v>
      </c>
      <c r="J47" t="str">
        <v>FRESH CHOICE</v>
      </c>
      <c r="K47" t="str">
        <v>30 Days</v>
      </c>
      <c r="L47" t="str">
        <v>05*03*2026</v>
      </c>
    </row>
    <row r="48">
      <c r="A48">
        <v>5</v>
      </c>
      <c r="B48" t="str">
        <v>05*02*2026</v>
      </c>
      <c r="C48" t="str">
        <v>AP-02-TA-3537</v>
      </c>
      <c r="D48">
        <v>640</v>
      </c>
      <c r="E48">
        <v>37270</v>
      </c>
      <c r="F48">
        <v>37140</v>
      </c>
      <c r="G48">
        <v>20.5</v>
      </c>
      <c r="I48">
        <f>E48*G48-H48</f>
        <v>764035</v>
      </c>
      <c r="J48" t="str">
        <v>FRESH CHOICE</v>
      </c>
      <c r="K48" t="str">
        <v>30 Days</v>
      </c>
      <c r="L48" t="str">
        <v>05*03*2026</v>
      </c>
    </row>
    <row r="49">
      <c r="A49">
        <v>6</v>
      </c>
      <c r="B49" t="str">
        <v>06*02*2026</v>
      </c>
      <c r="C49" t="str">
        <v>KA-52-A6357</v>
      </c>
      <c r="D49">
        <v>640</v>
      </c>
      <c r="E49">
        <v>37320</v>
      </c>
      <c r="F49">
        <v>37180</v>
      </c>
      <c r="G49">
        <v>20.5</v>
      </c>
      <c r="I49">
        <f>E49*G49-H49</f>
        <v>765060</v>
      </c>
      <c r="J49" t="str">
        <v>FRESH CHOICE</v>
      </c>
      <c r="K49" t="str">
        <v>30 Days</v>
      </c>
      <c r="L49" t="str">
        <v>06*03*2026</v>
      </c>
    </row>
    <row r="55">
      <c r="D55">
        <f>SUM(D44:D54)</f>
        <v>3636</v>
      </c>
      <c r="E55">
        <f>SUM(E44:E54)</f>
        <v>211370</v>
      </c>
      <c r="I55">
        <f>SUM(I47:I54)</f>
        <v>2206825</v>
      </c>
    </row>
    <row r="64">
      <c r="A64" t="str">
        <v>BHARATH MALNAD</v>
      </c>
    </row>
    <row r="68">
      <c r="A68" t="str">
        <v>SL.NO</v>
      </c>
      <c r="B68" t="str">
        <v>DATE</v>
      </c>
      <c r="C68" t="str">
        <v>LORRY NUM</v>
      </c>
      <c r="D68" t="str">
        <v>BAGS</v>
      </c>
      <c r="E68" t="str">
        <v>NET WEIGHT</v>
      </c>
      <c r="F68" t="str">
        <v>FACTORY WIGT</v>
      </c>
      <c r="G68" t="str">
        <v>RATE</v>
      </c>
      <c r="H68" t="str">
        <v>FLIGHT</v>
      </c>
      <c r="I68" t="str">
        <v>AMOUNT</v>
      </c>
      <c r="J68" t="str">
        <v>party</v>
      </c>
      <c r="K68" t="str">
        <v>payment</v>
      </c>
      <c r="L68" t="str">
        <v>Payment date</v>
      </c>
    </row>
    <row r="71">
      <c r="A71">
        <v>1</v>
      </c>
      <c r="B71" t="str">
        <v>13/10/2025</v>
      </c>
      <c r="C71" t="str">
        <v>KA/02/AG/9974</v>
      </c>
      <c r="D71">
        <v>247</v>
      </c>
      <c r="E71">
        <v>14010</v>
      </c>
      <c r="G71">
        <v>24</v>
      </c>
      <c r="I71">
        <f>E71*G71-H71</f>
        <v>336240</v>
      </c>
      <c r="J71" t="str">
        <v>Bharath malnad</v>
      </c>
      <c r="K71" t="str">
        <v>60 Days</v>
      </c>
      <c r="L71">
        <v>46003</v>
      </c>
    </row>
    <row r="72">
      <c r="A72">
        <v>2</v>
      </c>
      <c r="B72" t="str">
        <v>15/10/2025</v>
      </c>
      <c r="C72" t="str">
        <v>KA/02/AG/9974</v>
      </c>
      <c r="D72">
        <v>250</v>
      </c>
      <c r="E72">
        <v>14070</v>
      </c>
      <c r="G72">
        <v>24</v>
      </c>
      <c r="I72">
        <f>E72*G72-H72</f>
        <v>337680</v>
      </c>
      <c r="J72" t="str">
        <v>Bharath malnad</v>
      </c>
      <c r="K72" t="str">
        <v>60 Days</v>
      </c>
      <c r="L72" t="str">
        <v>13/12/2025</v>
      </c>
    </row>
    <row r="73">
      <c r="A73">
        <v>3</v>
      </c>
      <c r="B73" t="str">
        <v>17/10/2025</v>
      </c>
      <c r="C73" t="str">
        <v>KA/02/AG/9974</v>
      </c>
      <c r="D73">
        <v>250</v>
      </c>
      <c r="E73">
        <v>14110</v>
      </c>
      <c r="G73">
        <v>24</v>
      </c>
      <c r="I73">
        <f>E73*G73-H73</f>
        <v>338640</v>
      </c>
      <c r="J73" t="str">
        <v>Bharath malnad</v>
      </c>
      <c r="K73" t="str">
        <v>60 Days</v>
      </c>
      <c r="L73" t="str">
        <v>15/12/2025</v>
      </c>
    </row>
    <row r="82">
      <c r="D82">
        <f>SUM(D71:D81)</f>
        <v>747</v>
      </c>
      <c r="E82">
        <f>SUM(E71:E81)</f>
        <v>42190</v>
      </c>
      <c r="I82">
        <f>SUM(I71:I81)</f>
        <v>1012560</v>
      </c>
    </row>
    <row r="90">
      <c r="A90" t="str">
        <v>Santos farm</v>
      </c>
    </row>
    <row r="94">
      <c r="A94" t="str">
        <v>SL.NO</v>
      </c>
      <c r="B94" t="str">
        <v>DATE</v>
      </c>
      <c r="C94" t="str">
        <v>LORRY NUM</v>
      </c>
      <c r="D94" t="str">
        <v>BAGS</v>
      </c>
      <c r="E94" t="str">
        <v>NET WEIGHT</v>
      </c>
      <c r="F94" t="str">
        <v>FACTORY WIGT</v>
      </c>
      <c r="G94" t="str">
        <v>RATE</v>
      </c>
      <c r="H94" t="str">
        <v>FLIGHT</v>
      </c>
      <c r="I94" t="str">
        <v>AMOUNT</v>
      </c>
      <c r="J94" t="str">
        <v>party</v>
      </c>
      <c r="K94" t="str">
        <v>payment</v>
      </c>
      <c r="L94" t="str">
        <v>Payment date</v>
      </c>
    </row>
    <row r="97">
      <c r="A97">
        <v>1</v>
      </c>
      <c r="B97">
        <v>45941</v>
      </c>
      <c r="C97" t="str">
        <v>KA-16-C-8080</v>
      </c>
      <c r="D97">
        <v>550</v>
      </c>
      <c r="E97">
        <v>31980</v>
      </c>
      <c r="G97">
        <v>21.7</v>
      </c>
      <c r="H97">
        <v>0</v>
      </c>
      <c r="I97">
        <f>E97*G97-H97</f>
        <v>693966</v>
      </c>
      <c r="J97" t="str">
        <v>SANTOS FARM</v>
      </c>
      <c r="K97" t="str">
        <v>15 DAYS</v>
      </c>
      <c r="L97" t="str">
        <v>25/12/2025</v>
      </c>
    </row>
    <row r="98">
      <c r="A98">
        <v>2</v>
      </c>
      <c r="B98">
        <v>45972</v>
      </c>
      <c r="C98" t="str">
        <v>KA-25-D-8001</v>
      </c>
      <c r="D98">
        <v>581</v>
      </c>
      <c r="E98">
        <v>33940</v>
      </c>
      <c r="G98">
        <v>20.7</v>
      </c>
      <c r="H98">
        <v>0</v>
      </c>
      <c r="I98">
        <f>E98*G98-H98</f>
        <v>702558</v>
      </c>
      <c r="J98" t="str">
        <v>SANTOS FARM</v>
      </c>
      <c r="K98" t="str">
        <v>15 DAYS</v>
      </c>
      <c r="L98" t="str">
        <v>26/12/2025</v>
      </c>
    </row>
    <row r="99">
      <c r="A99">
        <v>3</v>
      </c>
      <c r="B99">
        <v>46002</v>
      </c>
      <c r="C99" t="str">
        <v>KA-48-A-3219</v>
      </c>
      <c r="D99">
        <v>701</v>
      </c>
      <c r="E99">
        <v>40590</v>
      </c>
      <c r="G99">
        <v>21</v>
      </c>
      <c r="H99">
        <v>0</v>
      </c>
      <c r="I99">
        <f>E99*G99-H99</f>
        <v>852390</v>
      </c>
      <c r="J99" t="str">
        <v>SANTOS FARM</v>
      </c>
      <c r="K99" t="str">
        <v>15 DAYS</v>
      </c>
      <c r="L99" t="str">
        <v>27/12/2025</v>
      </c>
    </row>
    <row r="100">
      <c r="A100">
        <v>4</v>
      </c>
      <c r="B100" t="str">
        <v>15/11/2025</v>
      </c>
      <c r="C100" t="str">
        <v>KA-09-AB-3730</v>
      </c>
      <c r="D100">
        <v>550</v>
      </c>
      <c r="E100">
        <v>30030</v>
      </c>
      <c r="G100">
        <v>21</v>
      </c>
      <c r="H100">
        <v>0</v>
      </c>
      <c r="I100">
        <f>E100*G100-H100</f>
        <v>630630</v>
      </c>
      <c r="J100" t="str">
        <v>SANTOS FARM</v>
      </c>
      <c r="K100" t="str">
        <v>15 DAYS</v>
      </c>
      <c r="L100" t="str">
        <v>30/12/2025</v>
      </c>
    </row>
    <row r="101">
      <c r="A101">
        <v>5</v>
      </c>
      <c r="B101" t="str">
        <v>18/11/2025</v>
      </c>
      <c r="C101" t="str">
        <v>KA-16-AA-7148</v>
      </c>
      <c r="D101">
        <v>720</v>
      </c>
      <c r="E101">
        <v>42170</v>
      </c>
      <c r="G101">
        <v>21</v>
      </c>
      <c r="H101">
        <v>0</v>
      </c>
      <c r="I101">
        <f>E101*G101-H101</f>
        <v>885570</v>
      </c>
      <c r="J101" t="str">
        <v>SANTOS FARM</v>
      </c>
      <c r="K101" t="str">
        <v>15 DAYS</v>
      </c>
      <c r="L101">
        <v>45728</v>
      </c>
    </row>
    <row r="102">
      <c r="A102">
        <v>6</v>
      </c>
      <c r="B102" t="str">
        <v>20/11/2025</v>
      </c>
      <c r="C102" t="str">
        <v>KA-19-D-5044</v>
      </c>
      <c r="D102">
        <v>545</v>
      </c>
      <c r="E102">
        <v>31310</v>
      </c>
      <c r="G102">
        <v>20.5</v>
      </c>
      <c r="H102">
        <v>0</v>
      </c>
      <c r="I102">
        <f>E102*G102-H102</f>
        <v>641855</v>
      </c>
      <c r="J102" t="str">
        <v>SANTOS FARM</v>
      </c>
      <c r="K102" t="str">
        <v>15 DAYS</v>
      </c>
      <c r="L102">
        <v>45789</v>
      </c>
    </row>
    <row r="103">
      <c r="A103">
        <v>7</v>
      </c>
      <c r="B103" t="str">
        <v>20/11/2025</v>
      </c>
      <c r="C103" t="str">
        <v>KA-16-C-8080</v>
      </c>
      <c r="D103">
        <v>580</v>
      </c>
      <c r="E103">
        <v>33320</v>
      </c>
      <c r="G103">
        <v>20.5</v>
      </c>
      <c r="H103">
        <v>0</v>
      </c>
      <c r="I103">
        <f>E103*G103-H103</f>
        <v>683060</v>
      </c>
      <c r="J103" t="str">
        <v>SANTOS FARM</v>
      </c>
      <c r="K103" t="str">
        <v>15 DAYS</v>
      </c>
      <c r="L103">
        <v>45789</v>
      </c>
    </row>
    <row r="104">
      <c r="A104">
        <v>8</v>
      </c>
      <c r="B104" t="str">
        <v>21/11*2025</v>
      </c>
      <c r="C104" t="str">
        <v>KA-01-C-8697</v>
      </c>
      <c r="D104">
        <v>550</v>
      </c>
      <c r="E104">
        <v>31680</v>
      </c>
      <c r="G104">
        <v>20.5</v>
      </c>
      <c r="H104">
        <v>0</v>
      </c>
      <c r="I104">
        <f>E104*G104-H104</f>
        <v>649440</v>
      </c>
      <c r="J104" t="str">
        <v>SANTOS FARM</v>
      </c>
      <c r="K104" t="str">
        <v>15 DAYS</v>
      </c>
      <c r="L104" t="str">
        <v>14/12/2025</v>
      </c>
    </row>
    <row r="105">
      <c r="A105">
        <v>9</v>
      </c>
      <c r="B105" t="str">
        <v>21*11*2025</v>
      </c>
      <c r="C105" t="str">
        <v>KA-48-A-3219</v>
      </c>
      <c r="D105">
        <v>755</v>
      </c>
      <c r="E105">
        <v>44250</v>
      </c>
      <c r="G105">
        <v>20.5</v>
      </c>
      <c r="H105">
        <v>0</v>
      </c>
      <c r="I105">
        <f>E105*G105-H105</f>
        <v>907125</v>
      </c>
      <c r="J105" t="str">
        <v>SANTOS FARM</v>
      </c>
      <c r="K105" t="str">
        <v>15 DAYS</v>
      </c>
      <c r="L105" t="str">
        <v>14/12/2025</v>
      </c>
    </row>
    <row r="106">
      <c r="A106">
        <v>10</v>
      </c>
      <c r="B106" t="str">
        <v>8*12*2025</v>
      </c>
      <c r="C106" t="str">
        <v>KA-16-B-9288</v>
      </c>
      <c r="D106">
        <v>554</v>
      </c>
      <c r="E106">
        <v>31630</v>
      </c>
      <c r="G106">
        <v>22.5</v>
      </c>
      <c r="H106">
        <v>0</v>
      </c>
      <c r="I106">
        <f>E106*G106-H106</f>
        <v>711675</v>
      </c>
      <c r="J106" t="str">
        <v>SANTOS FARM</v>
      </c>
      <c r="K106" t="str">
        <v>15 DAYS</v>
      </c>
      <c r="L106" t="str">
        <v>23/12/2025</v>
      </c>
    </row>
    <row r="107">
      <c r="A107">
        <v>11</v>
      </c>
      <c r="B107" t="str">
        <v>07*01*2026</v>
      </c>
      <c r="C107" t="str">
        <v>KA-16-C-2098</v>
      </c>
      <c r="D107">
        <v>580</v>
      </c>
      <c r="E107">
        <v>33540</v>
      </c>
      <c r="G107">
        <v>20.5</v>
      </c>
      <c r="H107">
        <v>0</v>
      </c>
      <c r="I107">
        <f>E107*G107-H107</f>
        <v>687570</v>
      </c>
      <c r="J107" t="str">
        <v>SANTHOSH</v>
      </c>
      <c r="K107" t="str">
        <v>30 Days</v>
      </c>
      <c r="L107" t="str">
        <v>7*02*2026</v>
      </c>
    </row>
    <row r="108">
      <c r="A108">
        <v>12</v>
      </c>
      <c r="B108" t="str">
        <v>08*01*2026</v>
      </c>
      <c r="C108" t="str">
        <v>KA-40-B-4555</v>
      </c>
      <c r="D108">
        <v>620</v>
      </c>
      <c r="E108">
        <v>36400</v>
      </c>
      <c r="G108">
        <v>20.5</v>
      </c>
      <c r="H108">
        <v>0</v>
      </c>
      <c r="I108">
        <f>E108*G108-H108</f>
        <v>746200</v>
      </c>
      <c r="J108" t="str">
        <v>SANTHOSH</v>
      </c>
      <c r="K108" t="str">
        <v>30 Days</v>
      </c>
      <c r="L108" t="str">
        <v>8*02*2026</v>
      </c>
    </row>
    <row r="109">
      <c r="A109">
        <v>13</v>
      </c>
      <c r="B109" t="str">
        <v>14*02*2026</v>
      </c>
      <c r="C109" t="str">
        <v>KA-06-AC-7124</v>
      </c>
      <c r="D109">
        <v>615</v>
      </c>
      <c r="E109">
        <v>35700</v>
      </c>
      <c r="G109">
        <v>19.8</v>
      </c>
      <c r="H109">
        <v>0</v>
      </c>
      <c r="I109">
        <f>E109*G109-H109</f>
        <v>706860</v>
      </c>
      <c r="J109" t="str">
        <v>SANTHOSH</v>
      </c>
      <c r="K109" t="str">
        <v>30 Days</v>
      </c>
    </row>
    <row r="110">
      <c r="A110">
        <v>14</v>
      </c>
      <c r="B110" t="str">
        <v>14*02*2026</v>
      </c>
      <c r="C110" t="str">
        <v>KA-01-AE-9622</v>
      </c>
      <c r="D110">
        <v>515</v>
      </c>
      <c r="E110">
        <v>29350</v>
      </c>
      <c r="G110">
        <v>19.8</v>
      </c>
      <c r="H110">
        <v>0</v>
      </c>
      <c r="I110">
        <f>E110*G110-H110</f>
        <v>581130</v>
      </c>
      <c r="J110" t="str">
        <v>SANTHOSH</v>
      </c>
      <c r="K110" t="str">
        <v>30 Days</v>
      </c>
    </row>
    <row r="111">
      <c r="A111">
        <v>15</v>
      </c>
      <c r="B111" t="str">
        <v>23*02*2026</v>
      </c>
      <c r="C111" t="str">
        <v>KA-01-AG-4701</v>
      </c>
      <c r="D111">
        <v>460</v>
      </c>
      <c r="E111">
        <v>27000</v>
      </c>
      <c r="G111">
        <v>18.8</v>
      </c>
      <c r="H111">
        <v>0</v>
      </c>
      <c r="I111">
        <f>E111*G111-H111</f>
        <v>507600</v>
      </c>
      <c r="J111" t="str">
        <v>SANTHOSH</v>
      </c>
      <c r="K111" t="str">
        <v>30 Days</v>
      </c>
    </row>
    <row r="112">
      <c r="A112">
        <v>16</v>
      </c>
      <c r="B112" t="str">
        <v>28*02*2026</v>
      </c>
      <c r="C112" t="str">
        <v>KA-20-AB-6822</v>
      </c>
      <c r="D112">
        <v>710</v>
      </c>
      <c r="E112">
        <v>41000</v>
      </c>
      <c r="G112">
        <v>19.1</v>
      </c>
      <c r="H112">
        <v>0</v>
      </c>
      <c r="I112">
        <f>E112*G112-H112</f>
        <v>783100.0000000001</v>
      </c>
      <c r="J112" t="str">
        <v>SANTHOSH</v>
      </c>
      <c r="K112" t="str">
        <v>30 Days</v>
      </c>
    </row>
    <row r="113">
      <c r="A113">
        <v>17</v>
      </c>
    </row>
    <row r="114">
      <c r="A114">
        <v>18</v>
      </c>
    </row>
    <row r="115">
      <c r="A115">
        <v>19</v>
      </c>
    </row>
    <row r="116">
      <c r="A116">
        <v>20</v>
      </c>
    </row>
    <row r="118">
      <c r="E118">
        <f>SUM(E97:E107)</f>
        <v>384440</v>
      </c>
    </row>
    <row r="121">
      <c r="F121" t="str">
        <v>PAYMENT RECIVED</v>
      </c>
    </row>
    <row r="122">
      <c r="G122" t="str">
        <v>REMAINIG PAYMENT</v>
      </c>
    </row>
    <row r="123">
      <c r="E123" t="str">
        <v>15/12/2025</v>
      </c>
      <c r="F123">
        <v>1500000</v>
      </c>
    </row>
    <row r="124">
      <c r="E124" t="str">
        <v>19/12/2025</v>
      </c>
      <c r="F124">
        <v>1000000</v>
      </c>
    </row>
    <row r="125">
      <c r="E125" t="str">
        <v>22/12/2025</v>
      </c>
      <c r="F125">
        <v>1200000</v>
      </c>
    </row>
    <row r="126">
      <c r="E126" t="str">
        <v>26/12/2025</v>
      </c>
      <c r="F126">
        <v>800000</v>
      </c>
    </row>
    <row r="127">
      <c r="E127" t="str">
        <v>27/12/2025</v>
      </c>
      <c r="F127">
        <v>600000</v>
      </c>
    </row>
    <row r="128">
      <c r="E128" t="str">
        <v>29/12/2025</v>
      </c>
      <c r="F128">
        <v>1500000</v>
      </c>
    </row>
    <row r="129">
      <c r="E129">
        <v>46029</v>
      </c>
      <c r="F129">
        <v>800000</v>
      </c>
    </row>
    <row r="130">
      <c r="E130" t="str">
        <v>13*02*2026</v>
      </c>
      <c r="F130">
        <v>800000</v>
      </c>
      <c r="G130" t="str">
        <v>SMBT</v>
      </c>
    </row>
    <row r="131">
      <c r="E131" t="str">
        <v>14*02*2026</v>
      </c>
      <c r="F131">
        <v>500000</v>
      </c>
      <c r="G131" t="str">
        <v>SMBT</v>
      </c>
    </row>
    <row r="134">
      <c r="F134">
        <f>SUM(F123:F133)</f>
        <v>8700000</v>
      </c>
    </row>
    <row r="139">
      <c r="A139" t="str">
        <v>JANANNI KUNIGAL</v>
      </c>
    </row>
    <row r="143">
      <c r="A143" t="str">
        <v>SL.NO</v>
      </c>
      <c r="B143" t="str">
        <v>DATE</v>
      </c>
      <c r="C143" t="str">
        <v>LORRY NUM</v>
      </c>
      <c r="D143" t="str">
        <v>BAGS</v>
      </c>
      <c r="E143" t="str">
        <v>NET WEIGHT</v>
      </c>
      <c r="F143" t="str">
        <v>FACTORY WIGT</v>
      </c>
      <c r="G143" t="str">
        <v>RATE</v>
      </c>
      <c r="H143" t="str">
        <v>FLIGHT</v>
      </c>
      <c r="I143" t="str">
        <v>AMOUNT</v>
      </c>
      <c r="J143" t="str">
        <v>party</v>
      </c>
      <c r="K143" t="str">
        <v>payment</v>
      </c>
      <c r="L143" t="str">
        <v>Payment date</v>
      </c>
    </row>
    <row r="146">
      <c r="A146">
        <v>1</v>
      </c>
      <c r="B146" t="str">
        <v>15/11/2025</v>
      </c>
      <c r="C146" t="str">
        <v>KA-09-AB-3730</v>
      </c>
      <c r="D146">
        <v>550</v>
      </c>
      <c r="E146">
        <v>32020</v>
      </c>
      <c r="F146">
        <v>31940</v>
      </c>
      <c r="G146">
        <v>21</v>
      </c>
      <c r="I146">
        <f>F146*G146</f>
        <v>670740</v>
      </c>
      <c r="J146" t="str">
        <v>JANANI</v>
      </c>
      <c r="K146" t="str">
        <v>15 DAYS</v>
      </c>
      <c r="L146" t="str">
        <v>30/11/2025</v>
      </c>
    </row>
    <row r="147">
      <c r="A147">
        <v>2</v>
      </c>
      <c r="B147" t="str">
        <v>16/11/2025</v>
      </c>
      <c r="C147" t="str">
        <v>KA-01-D-8126</v>
      </c>
      <c r="D147">
        <v>472</v>
      </c>
      <c r="E147">
        <v>27550</v>
      </c>
      <c r="G147">
        <v>21</v>
      </c>
      <c r="I147">
        <f>E147*G147-H147</f>
        <v>578550</v>
      </c>
      <c r="J147" t="str">
        <v>JANANI</v>
      </c>
      <c r="K147" t="str">
        <v>15 DAYS</v>
      </c>
      <c r="L147" t="str">
        <v>31/11/2025</v>
      </c>
    </row>
    <row r="148">
      <c r="A148">
        <v>3</v>
      </c>
      <c r="B148" t="str">
        <v>11*02*2026</v>
      </c>
      <c r="C148" t="str">
        <v>KA-16-C-2380</v>
      </c>
      <c r="D148">
        <v>530</v>
      </c>
      <c r="E148">
        <v>29960</v>
      </c>
      <c r="G148">
        <v>19.7</v>
      </c>
      <c r="I148">
        <f>E148*G148-H148</f>
        <v>590212</v>
      </c>
      <c r="J148" t="str">
        <v>JANANI</v>
      </c>
      <c r="K148" t="str">
        <v>15 DAYS</v>
      </c>
    </row>
    <row r="149">
      <c r="A149">
        <v>4</v>
      </c>
      <c r="B149" t="str">
        <v>12*02*2026</v>
      </c>
      <c r="C149" t="str">
        <v>KA-40-B-4303</v>
      </c>
      <c r="D149">
        <v>732</v>
      </c>
      <c r="E149">
        <v>41620</v>
      </c>
      <c r="G149">
        <v>19.7</v>
      </c>
      <c r="I149">
        <f>E149*G149-H149</f>
        <v>819914</v>
      </c>
      <c r="J149" t="str">
        <v>JANANI</v>
      </c>
      <c r="K149" t="str">
        <v>15 DAYS</v>
      </c>
    </row>
    <row r="154">
      <c r="E154">
        <f>SUM(E146:E153)</f>
        <v>131150</v>
      </c>
    </row>
    <row r="162">
      <c r="A162" t="str">
        <v>SWATHI</v>
      </c>
    </row>
    <row r="166">
      <c r="A166" t="str">
        <v>SL.NO</v>
      </c>
      <c r="B166" t="str">
        <v>DATE</v>
      </c>
      <c r="C166" t="str">
        <v>LORRY NUM</v>
      </c>
      <c r="D166" t="str">
        <v>BAGS</v>
      </c>
      <c r="E166" t="str">
        <v>NET WEIGHT</v>
      </c>
      <c r="F166" t="str">
        <v>FACTORY WIGT</v>
      </c>
      <c r="G166" t="str">
        <v>RATE</v>
      </c>
      <c r="H166" t="str">
        <v>FLIGHT</v>
      </c>
      <c r="I166" t="str">
        <v>AMOUNT</v>
      </c>
      <c r="J166" t="str">
        <v>party</v>
      </c>
      <c r="K166" t="str">
        <v>payment</v>
      </c>
      <c r="L166" t="str">
        <v>Payment date</v>
      </c>
    </row>
    <row r="169">
      <c r="A169">
        <v>1</v>
      </c>
      <c r="B169" t="str">
        <v>13*12*2025</v>
      </c>
      <c r="C169" t="str">
        <v>KA-14-C-0458</v>
      </c>
      <c r="D169">
        <v>580</v>
      </c>
      <c r="E169">
        <v>33670</v>
      </c>
      <c r="G169">
        <v>22</v>
      </c>
      <c r="I169">
        <f>E169*G169-H169</f>
        <v>740740</v>
      </c>
      <c r="J169" t="str">
        <v>SWATHI</v>
      </c>
      <c r="K169" t="str">
        <v>2 DAYS</v>
      </c>
    </row>
    <row r="170">
      <c r="A170">
        <v>2</v>
      </c>
    </row>
    <row r="171">
      <c r="A171">
        <v>3</v>
      </c>
    </row>
    <row r="172">
      <c r="A172">
        <v>4</v>
      </c>
    </row>
    <row r="177">
      <c r="E177">
        <f>SUM(E169:E176)</f>
        <v>33670</v>
      </c>
      <c r="I177">
        <f>SUM(I169:I176)</f>
        <v>740740</v>
      </c>
    </row>
    <row r="185">
      <c r="A185" t="str">
        <v>SUN STAR</v>
      </c>
    </row>
    <row r="189">
      <c r="A189" t="str">
        <v>SL.NO</v>
      </c>
      <c r="B189" t="str">
        <v>DATE</v>
      </c>
      <c r="C189" t="str">
        <v>LORRY NUM</v>
      </c>
      <c r="D189" t="str">
        <v>BAGS</v>
      </c>
      <c r="E189" t="str">
        <v>NET WEIGHT</v>
      </c>
      <c r="F189" t="str">
        <v>FACTORY WIGT</v>
      </c>
      <c r="G189" t="str">
        <v>RATE</v>
      </c>
      <c r="H189" t="str">
        <v>FLIGHT</v>
      </c>
      <c r="I189" t="str">
        <v>AMOUNT</v>
      </c>
      <c r="J189" t="str">
        <v>party</v>
      </c>
      <c r="K189" t="str">
        <v>payment</v>
      </c>
      <c r="L189" t="str">
        <v>Payment date</v>
      </c>
    </row>
    <row r="192">
      <c r="A192">
        <v>1</v>
      </c>
      <c r="B192" t="str">
        <v>30*12*2025</v>
      </c>
      <c r="C192" t="str">
        <v>KA*55*A*5029</v>
      </c>
      <c r="D192">
        <v>550</v>
      </c>
      <c r="E192">
        <v>32120</v>
      </c>
      <c r="G192">
        <v>20.4</v>
      </c>
      <c r="I192">
        <f>E192*G192-H192</f>
        <v>655248</v>
      </c>
      <c r="J192" t="str">
        <v>SUN STAR</v>
      </c>
      <c r="K192" t="str">
        <v>15 DAYS</v>
      </c>
      <c r="L192" t="str">
        <v>15*01*2025</v>
      </c>
    </row>
    <row r="193">
      <c r="A193">
        <v>2</v>
      </c>
      <c r="B193" t="str">
        <v>30*12*2025</v>
      </c>
      <c r="C193" t="str">
        <v>KA*1*B*59211</v>
      </c>
      <c r="D193">
        <v>443</v>
      </c>
      <c r="E193">
        <v>25960</v>
      </c>
      <c r="G193">
        <v>20.4</v>
      </c>
      <c r="I193">
        <f>E193*G193-H193</f>
        <v>529584</v>
      </c>
      <c r="J193" t="str">
        <v>SUN STAR</v>
      </c>
      <c r="K193" t="str">
        <v>15 DAYS</v>
      </c>
      <c r="L193" t="str">
        <v>15*01*2025</v>
      </c>
    </row>
    <row r="194">
      <c r="A194">
        <v>3</v>
      </c>
      <c r="B194" t="str">
        <v>29*01*2026</v>
      </c>
      <c r="C194" t="str">
        <v>KA-02 D-5478</v>
      </c>
      <c r="D194">
        <v>448</v>
      </c>
      <c r="E194">
        <v>26030</v>
      </c>
      <c r="F194">
        <v>25950</v>
      </c>
      <c r="G194">
        <v>20.15</v>
      </c>
      <c r="I194">
        <f>E194*G194-H194</f>
        <v>524504.5</v>
      </c>
      <c r="J194" t="str">
        <v>SUN STAR</v>
      </c>
      <c r="K194" t="str">
        <v>15 DAYS</v>
      </c>
      <c r="L194" t="str">
        <v>13*02*2025</v>
      </c>
    </row>
    <row r="195">
      <c r="A195">
        <v>4</v>
      </c>
      <c r="B195" t="str">
        <v>29*01*2026</v>
      </c>
      <c r="C195" t="str">
        <v>KA-27-A-0664</v>
      </c>
      <c r="D195">
        <v>438</v>
      </c>
      <c r="E195">
        <v>25230</v>
      </c>
      <c r="F195">
        <v>25190</v>
      </c>
      <c r="G195">
        <v>20.15</v>
      </c>
      <c r="I195">
        <f>E195*G195-H195</f>
        <v>508384.49999999994</v>
      </c>
      <c r="J195" t="str">
        <v>SUN STAR</v>
      </c>
      <c r="K195" t="str">
        <v>15 DAYS</v>
      </c>
      <c r="L195" t="str">
        <v>13*02*2025</v>
      </c>
    </row>
    <row r="196">
      <c r="A196">
        <v>5</v>
      </c>
      <c r="B196" t="str">
        <v>30*01*2026</v>
      </c>
      <c r="C196" t="str">
        <v>KA-05-AA-3139</v>
      </c>
      <c r="D196">
        <v>445</v>
      </c>
      <c r="E196">
        <v>25920</v>
      </c>
      <c r="F196">
        <v>25780</v>
      </c>
      <c r="G196">
        <v>20.15</v>
      </c>
      <c r="I196">
        <f>E196*G196-H196</f>
        <v>522287.99999999994</v>
      </c>
      <c r="J196" t="str">
        <v>SUN STAR</v>
      </c>
      <c r="K196" t="str">
        <v>15 DAYS</v>
      </c>
      <c r="L196" t="str">
        <v>15*02*2025</v>
      </c>
    </row>
    <row r="197">
      <c r="A197">
        <v>6</v>
      </c>
      <c r="B197" t="str">
        <v>30*01*2026</v>
      </c>
      <c r="C197" t="str">
        <v>KA-01-AE-1021</v>
      </c>
      <c r="D197">
        <v>445</v>
      </c>
      <c r="E197">
        <v>26090</v>
      </c>
      <c r="F197">
        <v>25990</v>
      </c>
      <c r="G197">
        <v>20.15</v>
      </c>
      <c r="I197">
        <f>E197*G197-H197</f>
        <v>525713.5</v>
      </c>
      <c r="J197" t="str">
        <v>SUN STAR</v>
      </c>
      <c r="K197" t="str">
        <v>15 DAYS</v>
      </c>
      <c r="L197" t="str">
        <v>15*02*2025</v>
      </c>
    </row>
    <row r="198">
      <c r="A198">
        <v>7</v>
      </c>
      <c r="B198" t="str">
        <v>01*02*2026</v>
      </c>
      <c r="C198" t="str">
        <v>KA-17-A-1353</v>
      </c>
      <c r="D198">
        <v>460</v>
      </c>
      <c r="E198">
        <v>26970</v>
      </c>
      <c r="F198">
        <v>26860</v>
      </c>
      <c r="G198">
        <v>20.15</v>
      </c>
      <c r="I198">
        <f>E198*G198-H198</f>
        <v>543445.5</v>
      </c>
      <c r="J198" t="str">
        <v>SUN STAR</v>
      </c>
      <c r="K198" t="str">
        <v>15 DAYS</v>
      </c>
      <c r="L198" t="str">
        <v>16*02*2025</v>
      </c>
    </row>
    <row r="199">
      <c r="A199">
        <v>8</v>
      </c>
      <c r="B199" t="str">
        <v>05*02*2026</v>
      </c>
      <c r="C199" t="str">
        <v>KA-27-A-9911</v>
      </c>
      <c r="D199">
        <v>375</v>
      </c>
      <c r="E199">
        <v>22260</v>
      </c>
      <c r="F199">
        <v>22220</v>
      </c>
      <c r="G199">
        <v>20.15</v>
      </c>
      <c r="I199">
        <f>E199*G199-H199</f>
        <v>448538.99999999994</v>
      </c>
      <c r="J199" t="str">
        <v>SUN STAR</v>
      </c>
      <c r="K199" t="str">
        <v>15 DAYS</v>
      </c>
      <c r="L199" t="str">
        <v>20*02*2025</v>
      </c>
    </row>
    <row r="200">
      <c r="A200">
        <v>9</v>
      </c>
    </row>
    <row r="202">
      <c r="E202">
        <f>SUM(E192:E201)</f>
        <v>210580</v>
      </c>
      <c r="I202">
        <f>SUM(I194:I201)</f>
        <v>3072875</v>
      </c>
    </row>
    <row r="206">
      <c r="A206" t="str">
        <v>SANJANA POTRI FARM</v>
      </c>
    </row>
    <row r="210">
      <c r="A210" t="str">
        <v>SL.NO</v>
      </c>
      <c r="B210" t="str">
        <v>DATE</v>
      </c>
      <c r="C210" t="str">
        <v>LORRY NUM</v>
      </c>
      <c r="D210" t="str">
        <v>BAGS</v>
      </c>
      <c r="E210" t="str">
        <v>NET WEIGHT</v>
      </c>
      <c r="F210" t="str">
        <v>FACTORY WIGT</v>
      </c>
      <c r="G210" t="str">
        <v>RATE</v>
      </c>
      <c r="H210" t="str">
        <v>FLIGHT</v>
      </c>
      <c r="I210" t="str">
        <v>AMOUNT</v>
      </c>
      <c r="J210" t="str">
        <v>party</v>
      </c>
      <c r="K210" t="str">
        <v>payment</v>
      </c>
      <c r="L210" t="str">
        <v>Payment date</v>
      </c>
    </row>
    <row r="211">
      <c r="N211" t="str">
        <v xml:space="preserve"> </v>
      </c>
    </row>
    <row r="213">
      <c r="A213">
        <v>1</v>
      </c>
      <c r="B213" t="str">
        <v>21*01*2026</v>
      </c>
      <c r="C213" t="str">
        <v>KA-23-B-5344</v>
      </c>
      <c r="D213">
        <v>740</v>
      </c>
      <c r="E213">
        <v>42190</v>
      </c>
      <c r="G213">
        <v>20.9</v>
      </c>
      <c r="I213">
        <f>E213*G213-H213</f>
        <v>881770.9999999999</v>
      </c>
      <c r="J213" t="str">
        <v xml:space="preserve">SANJANA </v>
      </c>
      <c r="K213" t="str">
        <v>30 Days</v>
      </c>
      <c r="L213" t="str">
        <v>21*02*2025</v>
      </c>
    </row>
    <row r="214">
      <c r="A214">
        <v>2</v>
      </c>
      <c r="B214" t="str">
        <v>22*01*2026</v>
      </c>
      <c r="C214" t="str">
        <v>KA-01-AE-0294</v>
      </c>
      <c r="D214">
        <v>534</v>
      </c>
      <c r="E214">
        <v>30870</v>
      </c>
      <c r="G214">
        <v>20.9</v>
      </c>
      <c r="I214">
        <f>E214*G214-H214</f>
        <v>645183</v>
      </c>
      <c r="J214" t="str">
        <v xml:space="preserve">SANJANA </v>
      </c>
      <c r="K214" t="str">
        <v>30 Days</v>
      </c>
      <c r="L214" t="str">
        <v>22*02*20025</v>
      </c>
    </row>
    <row r="215">
      <c r="A215">
        <v>3</v>
      </c>
    </row>
    <row r="216">
      <c r="A216">
        <v>4</v>
      </c>
    </row>
    <row r="221">
      <c r="E221">
        <f>SUM(E213:E220)</f>
        <v>73060</v>
      </c>
      <c r="I221">
        <f>SUM(I213:I220)</f>
        <v>1526954</v>
      </c>
    </row>
    <row r="227">
      <c r="A227" t="str">
        <v>BANASHAKARI</v>
      </c>
    </row>
    <row r="231">
      <c r="A231" t="str">
        <v>SL.NO</v>
      </c>
      <c r="B231" t="str">
        <v>DATE</v>
      </c>
      <c r="C231" t="str">
        <v>LORRY NUM</v>
      </c>
      <c r="D231" t="str">
        <v>BAGS</v>
      </c>
      <c r="E231" t="str">
        <v>NET WEIGHT</v>
      </c>
      <c r="F231" t="str">
        <v>FACTORY WIGT</v>
      </c>
      <c r="G231" t="str">
        <v>RATE</v>
      </c>
      <c r="H231" t="str">
        <v>FLIGHT</v>
      </c>
      <c r="I231" t="str">
        <v>AMOUNT</v>
      </c>
      <c r="J231" t="str">
        <v>party</v>
      </c>
      <c r="K231" t="str">
        <v>payment</v>
      </c>
      <c r="L231" t="str">
        <v>Payment date</v>
      </c>
    </row>
    <row r="234">
      <c r="A234">
        <v>1</v>
      </c>
      <c r="B234" t="str">
        <v>29*01*2026</v>
      </c>
      <c r="C234" t="str">
        <v>KA-23-N-5344</v>
      </c>
      <c r="D234">
        <v>712</v>
      </c>
      <c r="E234">
        <v>40950</v>
      </c>
      <c r="G234">
        <v>20.8</v>
      </c>
      <c r="I234">
        <f>E234*G234-H234</f>
        <v>851760</v>
      </c>
      <c r="J234" t="str">
        <v>BANSHAKARI</v>
      </c>
      <c r="K234" t="str">
        <v>20 DAYS</v>
      </c>
      <c r="L234" t="str">
        <v>13*02*2026</v>
      </c>
      <c r="O234">
        <v>500000</v>
      </c>
    </row>
    <row r="235">
      <c r="A235">
        <v>2</v>
      </c>
      <c r="B235" t="str">
        <v>30*01*2026</v>
      </c>
      <c r="C235" t="str">
        <v>KA-48-A-3219</v>
      </c>
      <c r="D235">
        <v>602</v>
      </c>
      <c r="E235">
        <v>34500</v>
      </c>
      <c r="G235">
        <v>20.8</v>
      </c>
      <c r="I235">
        <f>E235*G235-H235</f>
        <v>717600</v>
      </c>
      <c r="J235" t="str">
        <v>BANSHAKARI</v>
      </c>
      <c r="K235" t="str">
        <v>20 DAYS</v>
      </c>
      <c r="L235" t="str">
        <v>15*02*2026</v>
      </c>
      <c r="O235">
        <v>345520</v>
      </c>
    </row>
    <row r="236">
      <c r="A236">
        <v>3</v>
      </c>
      <c r="O236">
        <v>300000</v>
      </c>
    </row>
    <row r="237">
      <c r="A237">
        <v>4</v>
      </c>
    </row>
    <row r="238">
      <c r="O238">
        <f>SUM(O234:O237)</f>
        <v>1145520</v>
      </c>
    </row>
    <row r="242">
      <c r="I242">
        <f>SUM(I234:I241)</f>
        <v>1569360</v>
      </c>
    </row>
    <row r="247">
      <c r="M247">
        <f>I242-O238</f>
        <v>423840</v>
      </c>
    </row>
  </sheetData>
  <mergeCells count="9">
    <mergeCell ref="A227:L227"/>
    <mergeCell ref="A206:L206"/>
    <mergeCell ref="A185:L185"/>
    <mergeCell ref="A162:L162"/>
    <mergeCell ref="A4:L4"/>
    <mergeCell ref="A38:L38"/>
    <mergeCell ref="A64:L64"/>
    <mergeCell ref="A90:L90"/>
    <mergeCell ref="A139:L139"/>
  </mergeCells>
  <pageMargins left="0.7" right="0.7" top="0.75" bottom="0.75" header="0.3" footer="0.3"/>
  <ignoredErrors>
    <ignoredError numberStoredAsText="1" sqref="A3:AC3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7:P51"/>
  <sheetViews>
    <sheetView workbookViewId="0" rightToLeft="0"/>
  </sheetViews>
  <sheetData>
    <row r="7">
      <c r="A7" t="str">
        <v>SL NO</v>
      </c>
      <c r="B7" t="str">
        <v>DATE</v>
      </c>
      <c r="C7" t="str">
        <v>NAME</v>
      </c>
      <c r="D7" t="str">
        <v>PLACE</v>
      </c>
      <c r="E7" t="str">
        <v>BAGS</v>
      </c>
      <c r="F7" t="str">
        <v>WEIGHT</v>
      </c>
      <c r="G7" t="str">
        <v>LESS</v>
      </c>
      <c r="H7" t="str">
        <v xml:space="preserve">NET WEIGHT </v>
      </c>
      <c r="I7" t="str">
        <v xml:space="preserve">RATE </v>
      </c>
      <c r="J7" t="str">
        <v>AMOUNT</v>
      </c>
      <c r="K7" t="str">
        <v>LESS</v>
      </c>
      <c r="L7" t="str">
        <v>CASH</v>
      </c>
      <c r="M7" t="str">
        <v>TOTAL AMOUNT</v>
      </c>
    </row>
    <row r="10">
      <c r="A10">
        <v>1</v>
      </c>
      <c r="B10" t="str">
        <v>17/1/2025</v>
      </c>
      <c r="C10" t="str">
        <v>DEVI</v>
      </c>
      <c r="D10" t="str">
        <v>HARHALLI</v>
      </c>
      <c r="E10">
        <v>125</v>
      </c>
      <c r="F10">
        <v>6850</v>
      </c>
      <c r="G10">
        <v>0</v>
      </c>
      <c r="H10">
        <f>F10-G10</f>
        <v>6850</v>
      </c>
      <c r="I10">
        <v>19</v>
      </c>
      <c r="J10">
        <f>H10*I10</f>
        <v>130150</v>
      </c>
      <c r="K10">
        <v>0</v>
      </c>
      <c r="L10">
        <v>0</v>
      </c>
      <c r="M10">
        <f>J10-K10-L10</f>
        <v>130150</v>
      </c>
    </row>
    <row r="11">
      <c r="A11">
        <v>2</v>
      </c>
      <c r="B11" t="str">
        <v>17/1/2025</v>
      </c>
      <c r="C11" t="str">
        <v>DEVI</v>
      </c>
      <c r="D11" t="str">
        <v>HARHALLI</v>
      </c>
      <c r="E11">
        <v>172</v>
      </c>
      <c r="F11">
        <v>9700</v>
      </c>
      <c r="G11">
        <v>0</v>
      </c>
      <c r="H11">
        <f>F11-G11</f>
        <v>9700</v>
      </c>
      <c r="I11">
        <v>18.8</v>
      </c>
      <c r="J11">
        <f>H11*I11</f>
        <v>182360</v>
      </c>
      <c r="K11">
        <v>0</v>
      </c>
      <c r="L11">
        <v>0</v>
      </c>
      <c r="M11">
        <f>J11-K11-L11</f>
        <v>182360</v>
      </c>
    </row>
    <row r="12">
      <c r="A12">
        <v>3</v>
      </c>
      <c r="B12" t="str">
        <v>17/1/2025</v>
      </c>
      <c r="C12" t="str">
        <v>DEVI</v>
      </c>
      <c r="D12" t="str">
        <v>HARHALLI</v>
      </c>
      <c r="E12">
        <v>135</v>
      </c>
      <c r="F12">
        <v>7710</v>
      </c>
      <c r="G12">
        <v>0</v>
      </c>
      <c r="H12">
        <f>F12-G12</f>
        <v>7710</v>
      </c>
      <c r="I12">
        <v>18.7</v>
      </c>
      <c r="J12">
        <f>H12*I12</f>
        <v>144177</v>
      </c>
      <c r="K12">
        <v>0</v>
      </c>
      <c r="L12">
        <v>0</v>
      </c>
      <c r="M12">
        <f>J12-K12-L12</f>
        <v>144177</v>
      </c>
    </row>
    <row r="13">
      <c r="A13">
        <v>4</v>
      </c>
      <c r="B13" t="str">
        <v>17/1/2025</v>
      </c>
      <c r="C13" t="str">
        <v>DEVI</v>
      </c>
      <c r="D13" t="str">
        <v>HARHALLI</v>
      </c>
      <c r="E13">
        <v>93</v>
      </c>
      <c r="F13">
        <v>5230</v>
      </c>
      <c r="H13">
        <f>F13-G13</f>
        <v>5230</v>
      </c>
      <c r="I13">
        <v>19</v>
      </c>
      <c r="J13">
        <f>H13*I13</f>
        <v>99370</v>
      </c>
      <c r="M13">
        <f>J13-K13-L13</f>
        <v>99370</v>
      </c>
    </row>
    <row r="14">
      <c r="A14">
        <v>5</v>
      </c>
      <c r="B14" t="str">
        <v>18/1/2025</v>
      </c>
      <c r="C14" t="str">
        <v>VIJAY</v>
      </c>
      <c r="D14" t="str">
        <v>GOPAHALLI</v>
      </c>
      <c r="E14">
        <v>90</v>
      </c>
      <c r="F14">
        <v>5130</v>
      </c>
      <c r="H14">
        <f>F14-G14</f>
        <v>5130</v>
      </c>
      <c r="I14">
        <v>18.7</v>
      </c>
      <c r="J14">
        <f>H14*I14</f>
        <v>95931</v>
      </c>
      <c r="M14">
        <f>J14-K14-L14</f>
        <v>95931</v>
      </c>
    </row>
    <row r="15">
      <c r="A15">
        <v>6</v>
      </c>
      <c r="B15">
        <v>46003</v>
      </c>
      <c r="C15" t="str">
        <v>THIRTA</v>
      </c>
      <c r="D15" t="str">
        <v>ARABGATE</v>
      </c>
      <c r="E15">
        <v>152</v>
      </c>
      <c r="F15">
        <v>9240</v>
      </c>
      <c r="H15">
        <f>F15-G15</f>
        <v>9240</v>
      </c>
      <c r="I15">
        <v>20.5</v>
      </c>
      <c r="J15">
        <f>H15*I15</f>
        <v>189420</v>
      </c>
      <c r="M15">
        <f>J15-K15-L15</f>
        <v>189420</v>
      </c>
    </row>
    <row r="16">
      <c r="A16">
        <v>7</v>
      </c>
      <c r="B16" t="str">
        <v>18/12/2025</v>
      </c>
      <c r="C16" t="str">
        <v>SHEKARAPPA</v>
      </c>
      <c r="D16" t="str">
        <v>MELEBRNURU</v>
      </c>
      <c r="E16">
        <v>130</v>
      </c>
      <c r="F16">
        <v>8780</v>
      </c>
      <c r="H16">
        <f>F16-G16</f>
        <v>8780</v>
      </c>
      <c r="I16">
        <v>19.8</v>
      </c>
      <c r="J16">
        <f>H16*I16</f>
        <v>173844</v>
      </c>
      <c r="M16">
        <f>J16-K16-L16</f>
        <v>173844</v>
      </c>
    </row>
    <row r="17">
      <c r="A17">
        <v>8</v>
      </c>
      <c r="B17" t="str">
        <v>18/12/2025</v>
      </c>
      <c r="C17" t="str">
        <v>SHEKARAPPA</v>
      </c>
      <c r="D17" t="str">
        <v>MELEBRNURU</v>
      </c>
      <c r="E17">
        <v>140</v>
      </c>
      <c r="F17">
        <v>8530</v>
      </c>
      <c r="H17">
        <f>F17-G17</f>
        <v>8530</v>
      </c>
      <c r="I17">
        <v>20</v>
      </c>
      <c r="J17">
        <f>H17*I17</f>
        <v>170600</v>
      </c>
      <c r="M17">
        <f>J17-K17-L17</f>
        <v>170600</v>
      </c>
    </row>
    <row r="18">
      <c r="A18">
        <v>9</v>
      </c>
      <c r="B18" t="str">
        <v>24/12/2025</v>
      </c>
      <c r="C18" t="str">
        <v>KARIBASAPPA</v>
      </c>
      <c r="E18">
        <v>11</v>
      </c>
      <c r="F18">
        <v>655</v>
      </c>
      <c r="H18">
        <f>F18-G18</f>
        <v>655</v>
      </c>
      <c r="I18">
        <v>19</v>
      </c>
      <c r="J18">
        <f>H18*I18</f>
        <v>12445</v>
      </c>
      <c r="M18">
        <f>J18-K18-L18</f>
        <v>12445</v>
      </c>
    </row>
    <row r="19">
      <c r="A19">
        <v>10</v>
      </c>
      <c r="B19" t="str">
        <v>24/12/2025</v>
      </c>
      <c r="C19" t="str">
        <v>SHEKARAPPA</v>
      </c>
      <c r="D19" t="str">
        <v>MELEBRNURU</v>
      </c>
      <c r="E19">
        <v>251</v>
      </c>
      <c r="F19">
        <v>15110</v>
      </c>
      <c r="H19">
        <f>F19-G19</f>
        <v>15110</v>
      </c>
      <c r="I19">
        <v>19.3</v>
      </c>
      <c r="J19">
        <f>H19*I19</f>
        <v>291623</v>
      </c>
      <c r="M19">
        <f>J19-K19-L19</f>
        <v>291623</v>
      </c>
    </row>
    <row r="20">
      <c r="A20">
        <v>11</v>
      </c>
      <c r="B20" t="str">
        <v>24*12*2024</v>
      </c>
      <c r="C20" t="str">
        <v>KUBERAPPA</v>
      </c>
      <c r="D20" t="str">
        <v>CHIKABASURU</v>
      </c>
      <c r="E20">
        <v>98</v>
      </c>
      <c r="F20">
        <v>5990</v>
      </c>
      <c r="G20">
        <v>88</v>
      </c>
      <c r="H20">
        <f>F20-G20</f>
        <v>5902</v>
      </c>
      <c r="I20">
        <v>19.2</v>
      </c>
      <c r="J20">
        <f>H20*I20</f>
        <v>113318.4</v>
      </c>
      <c r="M20">
        <f>J20-K20-L20</f>
        <v>113318.4</v>
      </c>
    </row>
    <row r="21">
      <c r="A21">
        <v>12</v>
      </c>
      <c r="B21" t="str">
        <v>28*12*2025</v>
      </c>
      <c r="C21" t="str">
        <v>BADSHA</v>
      </c>
      <c r="D21" t="str">
        <v>HEREGONGERE</v>
      </c>
      <c r="E21">
        <v>255</v>
      </c>
      <c r="F21">
        <v>15100</v>
      </c>
      <c r="H21">
        <v>15100</v>
      </c>
      <c r="I21">
        <v>18.85</v>
      </c>
      <c r="J21">
        <f>H21*I21</f>
        <v>284635</v>
      </c>
      <c r="M21">
        <f>J21-K21-L21</f>
        <v>284635</v>
      </c>
    </row>
    <row r="22">
      <c r="A22">
        <v>13</v>
      </c>
      <c r="B22" t="str">
        <v>31*12*2025</v>
      </c>
      <c r="C22" t="str">
        <v>KUBERAPPA</v>
      </c>
      <c r="D22" t="str">
        <v>CHIKABASURU</v>
      </c>
      <c r="E22">
        <v>349</v>
      </c>
      <c r="F22">
        <v>20910</v>
      </c>
      <c r="G22">
        <v>104</v>
      </c>
      <c r="H22">
        <v>20806</v>
      </c>
      <c r="I22">
        <v>18.9</v>
      </c>
      <c r="J22">
        <f>H22*I22</f>
        <v>393233.39999999997</v>
      </c>
      <c r="M22">
        <f>J22-K22-L22</f>
        <v>393233.39999999997</v>
      </c>
    </row>
    <row r="23">
      <c r="A23">
        <v>14</v>
      </c>
      <c r="B23" t="str">
        <v>31*12*2025</v>
      </c>
      <c r="C23" t="str">
        <v>KUBERAPPA</v>
      </c>
      <c r="D23" t="str">
        <v>CHIKABASURU</v>
      </c>
      <c r="E23">
        <v>120</v>
      </c>
      <c r="F23">
        <v>7210</v>
      </c>
      <c r="G23">
        <v>36</v>
      </c>
      <c r="H23">
        <v>7174</v>
      </c>
      <c r="I23">
        <v>19.1</v>
      </c>
      <c r="J23">
        <f>H23*I23</f>
        <v>137023.40000000002</v>
      </c>
      <c r="M23">
        <f>J23-K23-L23</f>
        <v>137023.40000000002</v>
      </c>
    </row>
    <row r="24">
      <c r="A24">
        <v>15</v>
      </c>
      <c r="B24" t="str">
        <v>16*01*2026</v>
      </c>
      <c r="C24" t="str">
        <v>SANTOSH</v>
      </c>
      <c r="D24" t="str">
        <v>HONNALI</v>
      </c>
      <c r="E24">
        <v>35</v>
      </c>
      <c r="F24">
        <v>2070</v>
      </c>
      <c r="G24">
        <f>F24*0.5/100</f>
        <v>10.35</v>
      </c>
      <c r="H24">
        <f>F24-G24</f>
        <v>2059.65</v>
      </c>
      <c r="I24">
        <v>18.3</v>
      </c>
      <c r="J24">
        <f>H24*I24</f>
        <v>37691.595</v>
      </c>
      <c r="M24">
        <f>J24-K24-L24</f>
        <v>37691.595</v>
      </c>
    </row>
    <row r="25">
      <c r="A25">
        <v>16</v>
      </c>
      <c r="B25" t="str">
        <v>28*01*2026</v>
      </c>
      <c r="C25" t="str">
        <v>KRISHANA</v>
      </c>
      <c r="D25" t="str">
        <v>MELEBRNURU</v>
      </c>
      <c r="E25">
        <v>390</v>
      </c>
      <c r="F25">
        <v>23680</v>
      </c>
      <c r="G25">
        <f>F25*0.5/100</f>
        <v>118.4</v>
      </c>
      <c r="H25">
        <f>F25-G25</f>
        <v>23561.6</v>
      </c>
      <c r="I25">
        <v>18.6</v>
      </c>
      <c r="J25">
        <f>H25*I25</f>
        <v>438245.76</v>
      </c>
      <c r="M25">
        <f>J25-K25-L25</f>
        <v>438245.76</v>
      </c>
    </row>
    <row r="26">
      <c r="A26">
        <v>17</v>
      </c>
      <c r="B26" t="str">
        <v>28*01*2026</v>
      </c>
      <c r="C26" t="str">
        <v>KRISHANA</v>
      </c>
      <c r="D26" t="str">
        <v>MELEBRNURU</v>
      </c>
      <c r="E26">
        <v>420</v>
      </c>
      <c r="F26">
        <v>25620</v>
      </c>
      <c r="G26">
        <f>F26*0.5/100</f>
        <v>128.1</v>
      </c>
      <c r="H26">
        <f>F26-G26</f>
        <v>25491.9</v>
      </c>
      <c r="I26">
        <v>18.4</v>
      </c>
      <c r="J26">
        <f>H26*I26</f>
        <v>469050.95999999996</v>
      </c>
      <c r="M26">
        <f>J26-K26-L26</f>
        <v>469050.95999999996</v>
      </c>
    </row>
    <row r="27">
      <c r="A27">
        <v>18</v>
      </c>
      <c r="B27" t="str">
        <v>30*01*2026</v>
      </c>
      <c r="C27" t="str">
        <v>SHEKARAPPA</v>
      </c>
      <c r="D27" t="str">
        <v>MELEBRNURU</v>
      </c>
      <c r="E27">
        <v>350</v>
      </c>
      <c r="F27">
        <v>21860</v>
      </c>
      <c r="G27">
        <f>F27*0.5/100</f>
        <v>109.3</v>
      </c>
      <c r="H27">
        <f>F27-G27</f>
        <v>21750.7</v>
      </c>
      <c r="I27">
        <v>18.6</v>
      </c>
      <c r="J27">
        <f>H27*I27</f>
        <v>404563.02</v>
      </c>
      <c r="M27">
        <f>J27-K27-L27</f>
        <v>404563.02</v>
      </c>
    </row>
    <row r="28">
      <c r="A28">
        <v>19</v>
      </c>
      <c r="B28" t="str">
        <v>30*01*2026</v>
      </c>
      <c r="C28" t="str">
        <v>SHEKARAPPA</v>
      </c>
      <c r="D28" t="str">
        <v>MELEBRNURU</v>
      </c>
      <c r="E28">
        <v>481</v>
      </c>
      <c r="F28">
        <v>28840</v>
      </c>
      <c r="G28">
        <f>F28*0.5/100</f>
        <v>144.2</v>
      </c>
      <c r="H28">
        <f>F28-G28</f>
        <v>28695.8</v>
      </c>
      <c r="I28">
        <v>18.5</v>
      </c>
      <c r="J28">
        <f>H28*I28</f>
        <v>530872.2999999999</v>
      </c>
      <c r="M28">
        <f>J28-K28-L28</f>
        <v>530872.2999999999</v>
      </c>
    </row>
    <row r="29">
      <c r="A29">
        <v>20</v>
      </c>
      <c r="B29" t="str">
        <v>31*01*2026</v>
      </c>
      <c r="C29" t="str">
        <v>KUBERAPPA</v>
      </c>
      <c r="D29" t="str">
        <v>CHIKABASURU</v>
      </c>
      <c r="E29">
        <v>282</v>
      </c>
      <c r="F29">
        <v>17080</v>
      </c>
      <c r="G29">
        <f>F29*0.5/100</f>
        <v>85.4</v>
      </c>
      <c r="H29">
        <f>F29-G29</f>
        <v>16994.6</v>
      </c>
      <c r="I29">
        <v>18.6</v>
      </c>
      <c r="J29">
        <f>H29*I29</f>
        <v>316099.56</v>
      </c>
      <c r="M29">
        <f>J29-K29-L29</f>
        <v>316099.56</v>
      </c>
    </row>
    <row r="30">
      <c r="A30">
        <v>21</v>
      </c>
      <c r="B30" t="str">
        <v>02*02*2026</v>
      </c>
      <c r="C30" t="str">
        <v>PRAVEEN</v>
      </c>
      <c r="D30" t="str">
        <v>JENAHALLI</v>
      </c>
      <c r="E30">
        <v>120</v>
      </c>
      <c r="F30">
        <v>7150</v>
      </c>
      <c r="G30">
        <f>F30*0.5/100</f>
        <v>35.75</v>
      </c>
      <c r="H30">
        <f>F30-G30</f>
        <v>7114.25</v>
      </c>
      <c r="I30">
        <v>18</v>
      </c>
      <c r="J30">
        <f>H30*I30</f>
        <v>128056.5</v>
      </c>
      <c r="M30">
        <f>J30-K30-L30</f>
        <v>128056.5</v>
      </c>
    </row>
    <row r="31">
      <c r="A31">
        <v>22</v>
      </c>
      <c r="B31" t="str">
        <v>02*02*2026</v>
      </c>
      <c r="C31" t="str">
        <v>GIRISH</v>
      </c>
      <c r="D31" t="str">
        <v>BENKAHALLI</v>
      </c>
      <c r="E31">
        <v>600</v>
      </c>
      <c r="F31">
        <v>36350</v>
      </c>
      <c r="G31">
        <f>F31*0.5/100</f>
        <v>181.75</v>
      </c>
      <c r="H31">
        <f>F31-G31</f>
        <v>36168.25</v>
      </c>
      <c r="I31">
        <v>18.3</v>
      </c>
      <c r="J31">
        <f>H31*I31</f>
        <v>661878.975</v>
      </c>
      <c r="M31">
        <f>J31-K31-L31</f>
        <v>661878.975</v>
      </c>
    </row>
    <row r="32">
      <c r="A32">
        <v>23</v>
      </c>
      <c r="B32" t="str">
        <v>03*02*2026</v>
      </c>
      <c r="C32" t="str">
        <v>RAMESH</v>
      </c>
      <c r="D32" t="str">
        <v>GANTAYAPURA</v>
      </c>
      <c r="E32">
        <v>122</v>
      </c>
      <c r="F32">
        <v>7370</v>
      </c>
      <c r="G32">
        <f>F32*0.5/100</f>
        <v>36.85</v>
      </c>
      <c r="H32">
        <f>F32-G32</f>
        <v>7333.15</v>
      </c>
      <c r="I32">
        <v>18.5</v>
      </c>
      <c r="J32">
        <f>H32*I32</f>
        <v>135663.275</v>
      </c>
      <c r="M32">
        <f>J32-K32-L32</f>
        <v>135663.275</v>
      </c>
    </row>
    <row r="33">
      <c r="A33">
        <v>24</v>
      </c>
      <c r="B33" t="str">
        <v>03*02*2026</v>
      </c>
      <c r="C33" t="str">
        <v>RAMESH</v>
      </c>
      <c r="D33" t="str">
        <v>GANTAYAPURA</v>
      </c>
      <c r="E33">
        <v>135</v>
      </c>
      <c r="F33">
        <v>8460</v>
      </c>
      <c r="G33">
        <f>F33*0.5/100</f>
        <v>42.3</v>
      </c>
      <c r="H33">
        <f>F33-G33</f>
        <v>8417.7</v>
      </c>
      <c r="I33">
        <v>18.1</v>
      </c>
      <c r="J33">
        <f>H33*I33</f>
        <v>152360.37000000002</v>
      </c>
      <c r="M33">
        <f>J33-K33-L33</f>
        <v>152360.37000000002</v>
      </c>
    </row>
    <row r="34">
      <c r="A34">
        <v>25</v>
      </c>
      <c r="B34" t="str">
        <v>03*02*2026</v>
      </c>
      <c r="C34" t="str">
        <v>VEERENRA</v>
      </c>
      <c r="D34" t="str">
        <v>HALURU</v>
      </c>
      <c r="E34">
        <v>300</v>
      </c>
      <c r="F34">
        <v>16870</v>
      </c>
      <c r="G34">
        <f>F34*0.5/100</f>
        <v>84.35</v>
      </c>
      <c r="H34">
        <f>F34-G34</f>
        <v>16785.65</v>
      </c>
      <c r="I34">
        <v>18</v>
      </c>
      <c r="J34">
        <f>H34*I34</f>
        <v>302141.7</v>
      </c>
      <c r="M34">
        <f>J34-K34-L34</f>
        <v>302141.7</v>
      </c>
    </row>
    <row r="35">
      <c r="A35">
        <v>26</v>
      </c>
      <c r="B35" t="str">
        <v>07*02*2026</v>
      </c>
      <c r="C35" t="str">
        <v>RAMESH</v>
      </c>
      <c r="D35" t="str">
        <v>GANTAYAPURA</v>
      </c>
      <c r="E35">
        <v>123</v>
      </c>
      <c r="F35">
        <v>7370</v>
      </c>
      <c r="G35">
        <f>F35*0.5/100</f>
        <v>36.85</v>
      </c>
      <c r="H35">
        <f>F35-G35</f>
        <v>7333.15</v>
      </c>
      <c r="I35">
        <v>17.8</v>
      </c>
      <c r="J35">
        <f>H35*I35</f>
        <v>130530.06999999999</v>
      </c>
      <c r="M35">
        <f>J35-K35-L35</f>
        <v>130530.06999999999</v>
      </c>
    </row>
    <row r="36">
      <c r="A36">
        <v>27</v>
      </c>
      <c r="B36" t="str">
        <v>13*02*2026</v>
      </c>
      <c r="C36" t="str">
        <v>PUTTA NAIK</v>
      </c>
      <c r="D36" t="str">
        <v>SKP</v>
      </c>
      <c r="E36">
        <v>335</v>
      </c>
      <c r="F36">
        <v>21700</v>
      </c>
      <c r="G36">
        <f>F36*0.5/100</f>
        <v>108.5</v>
      </c>
      <c r="H36">
        <f>F36-G36</f>
        <v>21591.5</v>
      </c>
      <c r="I36">
        <v>17</v>
      </c>
      <c r="J36">
        <f>H36*I36</f>
        <v>367055.5</v>
      </c>
      <c r="M36">
        <f>J36-K36-L36</f>
        <v>367055.5</v>
      </c>
    </row>
    <row r="37">
      <c r="A37">
        <v>28</v>
      </c>
      <c r="B37" t="str">
        <v>17*02*2026</v>
      </c>
      <c r="C37" t="str">
        <v>PUTTA NAIK</v>
      </c>
      <c r="D37" t="str">
        <v>SKP</v>
      </c>
      <c r="E37">
        <v>331</v>
      </c>
      <c r="F37">
        <v>19370</v>
      </c>
      <c r="G37">
        <f>F37*0.5/100</f>
        <v>96.85</v>
      </c>
      <c r="H37">
        <f>F37-G37</f>
        <v>19273.15</v>
      </c>
      <c r="I37">
        <v>17.1</v>
      </c>
      <c r="J37">
        <f>H37*I37</f>
        <v>329570.86500000005</v>
      </c>
      <c r="M37">
        <f>J37-K37-L37</f>
        <v>329570.86500000005</v>
      </c>
    </row>
    <row r="38">
      <c r="A38">
        <v>29</v>
      </c>
      <c r="G38">
        <f>F38*0.5/100</f>
        <v>0</v>
      </c>
      <c r="H38">
        <f>F38-G38</f>
        <v>0</v>
      </c>
      <c r="J38">
        <f>H38*I38</f>
        <v>0</v>
      </c>
      <c r="M38">
        <f>J38-K38-L38</f>
        <v>0</v>
      </c>
    </row>
    <row r="39">
      <c r="A39">
        <v>30</v>
      </c>
      <c r="G39">
        <f>F39*0.5/100</f>
        <v>0</v>
      </c>
      <c r="H39">
        <f>F39-G39</f>
        <v>0</v>
      </c>
      <c r="J39">
        <f>H39*I39</f>
        <v>0</v>
      </c>
      <c r="M39">
        <f>J39-K39-L39</f>
        <v>0</v>
      </c>
    </row>
    <row r="40">
      <c r="A40">
        <v>31</v>
      </c>
      <c r="G40">
        <f>F40*0.5/100</f>
        <v>0</v>
      </c>
      <c r="H40">
        <f>F40-G40</f>
        <v>0</v>
      </c>
      <c r="J40">
        <f>H40*I40</f>
        <v>0</v>
      </c>
      <c r="M40">
        <f>J40-K40-L40</f>
        <v>0</v>
      </c>
    </row>
    <row r="41">
      <c r="A41">
        <v>32</v>
      </c>
      <c r="G41">
        <f>F41*0.5/100</f>
        <v>0</v>
      </c>
      <c r="H41">
        <f>F41-G41</f>
        <v>0</v>
      </c>
      <c r="J41">
        <f>H41*I41</f>
        <v>0</v>
      </c>
      <c r="M41">
        <f>J41-K41-L41</f>
        <v>0</v>
      </c>
    </row>
    <row r="42">
      <c r="A42">
        <v>33</v>
      </c>
      <c r="G42">
        <f>F42*0.5/100</f>
        <v>0</v>
      </c>
      <c r="H42">
        <f>F42-G42</f>
        <v>0</v>
      </c>
      <c r="J42">
        <f>H42*I42</f>
        <v>0</v>
      </c>
      <c r="M42">
        <f>J42-K42-L42</f>
        <v>0</v>
      </c>
    </row>
    <row r="43">
      <c r="A43">
        <v>34</v>
      </c>
      <c r="G43">
        <f>F43*0.5/100</f>
        <v>0</v>
      </c>
      <c r="H43">
        <f>F43-G43</f>
        <v>0</v>
      </c>
      <c r="J43">
        <f>H43*I43</f>
        <v>0</v>
      </c>
      <c r="M43">
        <f>J43-K43-L43</f>
        <v>0</v>
      </c>
    </row>
    <row r="44">
      <c r="A44">
        <v>35</v>
      </c>
      <c r="G44">
        <f>F44*0.5/100</f>
        <v>0</v>
      </c>
      <c r="H44">
        <f>F44-G44</f>
        <v>0</v>
      </c>
      <c r="J44">
        <f>H44*I44</f>
        <v>0</v>
      </c>
      <c r="M44">
        <f>J44-K44-L44</f>
        <v>0</v>
      </c>
    </row>
    <row r="45">
      <c r="A45">
        <v>36</v>
      </c>
      <c r="G45">
        <f>F45*0.5/100</f>
        <v>0</v>
      </c>
      <c r="H45">
        <f>F45-G45</f>
        <v>0</v>
      </c>
      <c r="J45">
        <f>H45*I45</f>
        <v>0</v>
      </c>
      <c r="M45">
        <f>J45-K45-L45</f>
        <v>0</v>
      </c>
    </row>
    <row r="46">
      <c r="A46">
        <v>37</v>
      </c>
      <c r="G46">
        <f>F46*0.5/100</f>
        <v>0</v>
      </c>
      <c r="H46">
        <f>F46-G46</f>
        <v>0</v>
      </c>
      <c r="J46">
        <f>H46*I46</f>
        <v>0</v>
      </c>
      <c r="M46">
        <f>J46-K46-L46</f>
        <v>0</v>
      </c>
    </row>
    <row r="49">
      <c r="E49">
        <f>SUM(E10:E37)</f>
        <v>6145</v>
      </c>
      <c r="F49">
        <f>SUM(F10:F48)</f>
        <v>369935</v>
      </c>
      <c r="M49">
        <f>SUM(M10:M48)</f>
        <v>6821910.65</v>
      </c>
    </row>
  </sheetData>
  <pageMargins left="0.7" right="0.7" top="0.75" bottom="0.75" header="0.3" footer="0.3"/>
  <ignoredErrors>
    <ignoredError numberStoredAsText="1" sqref="A7:P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4:Q70"/>
  <sheetViews>
    <sheetView workbookViewId="0" rightToLeft="0"/>
  </sheetViews>
  <sheetData>
    <row r="4">
      <c r="A4" t="str">
        <v>SL NO</v>
      </c>
      <c r="B4" t="str">
        <v>DATE</v>
      </c>
      <c r="C4" t="str">
        <v>LORRY NO</v>
      </c>
      <c r="D4" t="str">
        <v>BAGS</v>
      </c>
      <c r="E4" t="str">
        <v xml:space="preserve">WEIGHT </v>
      </c>
      <c r="F4" t="str">
        <v>LESS</v>
      </c>
      <c r="G4" t="str">
        <v>NET WEIGHT</v>
      </c>
      <c r="H4" t="str">
        <v>RATE</v>
      </c>
      <c r="I4" t="str">
        <v>AMOUNT</v>
      </c>
      <c r="J4" t="str">
        <v>ADD ON</v>
      </c>
      <c r="K4" t="str">
        <v>TOTAL AMT</v>
      </c>
      <c r="M4" t="str">
        <v>SL NO</v>
      </c>
      <c r="N4" t="str">
        <v>DATE</v>
      </c>
      <c r="O4" t="str">
        <v>MODE</v>
      </c>
      <c r="P4" t="str">
        <v>AMOUNT</v>
      </c>
      <c r="Q4" t="str">
        <v>NAME</v>
      </c>
    </row>
    <row r="7">
      <c r="A7">
        <v>1</v>
      </c>
      <c r="B7" t="str">
        <v>24/11/2025</v>
      </c>
      <c r="C7" t="str">
        <v>TRATOR</v>
      </c>
      <c r="D7">
        <v>140</v>
      </c>
      <c r="E7">
        <v>8330</v>
      </c>
      <c r="F7">
        <f>E7*0.5/100</f>
        <v>41.65</v>
      </c>
      <c r="G7">
        <f>E7-F7</f>
        <v>8288.35</v>
      </c>
      <c r="H7">
        <v>19</v>
      </c>
      <c r="I7">
        <f>G7*H7</f>
        <v>157478.65</v>
      </c>
      <c r="K7">
        <f>I7+J7</f>
        <v>157478.65</v>
      </c>
      <c r="M7">
        <v>1</v>
      </c>
      <c r="N7" t="str">
        <v>OLD BAL</v>
      </c>
      <c r="P7">
        <v>300000</v>
      </c>
    </row>
    <row r="8">
      <c r="A8">
        <v>2</v>
      </c>
      <c r="B8" t="str">
        <v>29/11/2025</v>
      </c>
      <c r="C8" t="str">
        <v>TRATOR</v>
      </c>
      <c r="D8">
        <v>141</v>
      </c>
      <c r="E8">
        <v>8400</v>
      </c>
      <c r="F8">
        <f>E8*0.5/100</f>
        <v>42</v>
      </c>
      <c r="G8">
        <f>E8-F8</f>
        <v>8358</v>
      </c>
      <c r="H8">
        <v>19</v>
      </c>
      <c r="I8">
        <f>G8*H8</f>
        <v>158802</v>
      </c>
      <c r="K8">
        <f>I8+J8</f>
        <v>158802</v>
      </c>
      <c r="M8">
        <v>2</v>
      </c>
      <c r="N8">
        <v>45878</v>
      </c>
      <c r="O8" t="str">
        <v>PHONE PAY</v>
      </c>
      <c r="P8">
        <v>30000</v>
      </c>
      <c r="Q8" t="str">
        <v>ROOPA H S</v>
      </c>
    </row>
    <row r="9">
      <c r="A9">
        <v>3</v>
      </c>
      <c r="B9" t="str">
        <v>11*12*2025</v>
      </c>
      <c r="C9" t="str">
        <v>TRATOR</v>
      </c>
      <c r="D9">
        <v>120</v>
      </c>
      <c r="E9">
        <v>7000</v>
      </c>
      <c r="F9">
        <f>E9*0.5/100</f>
        <v>35</v>
      </c>
      <c r="G9">
        <f>E9-F9</f>
        <v>6965</v>
      </c>
      <c r="H9">
        <v>20.2</v>
      </c>
      <c r="I9">
        <f>G9*H9</f>
        <v>140693</v>
      </c>
      <c r="K9">
        <f>I9+J9</f>
        <v>140693</v>
      </c>
      <c r="M9">
        <v>3</v>
      </c>
      <c r="N9" t="str">
        <v>18*08*2025</v>
      </c>
      <c r="O9" t="str">
        <v>CASH</v>
      </c>
      <c r="P9">
        <v>40000</v>
      </c>
      <c r="Q9" t="str">
        <v>CASH</v>
      </c>
    </row>
    <row r="10">
      <c r="A10">
        <v>4</v>
      </c>
      <c r="B10" t="str">
        <v>17*12*2025</v>
      </c>
      <c r="C10" t="str">
        <v>TRATOR</v>
      </c>
      <c r="D10">
        <v>94</v>
      </c>
      <c r="E10">
        <v>8810</v>
      </c>
      <c r="F10">
        <f>E10*0.5/100</f>
        <v>44.05</v>
      </c>
      <c r="G10">
        <f>E10-F10</f>
        <v>8765.95</v>
      </c>
      <c r="H10">
        <v>19.7</v>
      </c>
      <c r="I10">
        <f>G10*H10</f>
        <v>172689.215</v>
      </c>
      <c r="K10">
        <f>I10+J10</f>
        <v>172689.215</v>
      </c>
      <c r="M10">
        <v>4</v>
      </c>
      <c r="N10">
        <v>45787</v>
      </c>
      <c r="O10" t="str">
        <v>PHONE PAY</v>
      </c>
      <c r="P10">
        <v>30000</v>
      </c>
      <c r="Q10" t="str">
        <v>DEEPA K</v>
      </c>
    </row>
    <row r="11">
      <c r="A11">
        <v>5</v>
      </c>
      <c r="B11" t="str">
        <v>7*01*2026</v>
      </c>
      <c r="C11" t="str">
        <v>TRATOR</v>
      </c>
      <c r="D11">
        <v>227</v>
      </c>
      <c r="E11">
        <v>13630</v>
      </c>
      <c r="F11">
        <f>E11*0.5/100</f>
        <v>68.15</v>
      </c>
      <c r="G11">
        <f>E11-F11</f>
        <v>13561.85</v>
      </c>
      <c r="H11">
        <v>18.7</v>
      </c>
      <c r="I11">
        <f>G11*H11</f>
        <v>253606.595</v>
      </c>
      <c r="K11">
        <f>I11+J11</f>
        <v>253606.595</v>
      </c>
      <c r="M11">
        <v>5</v>
      </c>
      <c r="N11" t="str">
        <v>26/11/2025</v>
      </c>
      <c r="O11" t="str">
        <v>PHONE PAY</v>
      </c>
      <c r="P11">
        <v>20000</v>
      </c>
      <c r="Q11" t="str">
        <v>PRAKASH GOUDA</v>
      </c>
    </row>
    <row r="12">
      <c r="A12">
        <v>6</v>
      </c>
      <c r="B12" t="str">
        <v>25*01*2026</v>
      </c>
      <c r="C12" t="str">
        <v>CANTER</v>
      </c>
      <c r="D12">
        <v>180</v>
      </c>
      <c r="E12">
        <v>10700</v>
      </c>
      <c r="F12">
        <f>E12*0.5/100</f>
        <v>53.5</v>
      </c>
      <c r="G12">
        <f>E12-F12</f>
        <v>10646.5</v>
      </c>
      <c r="H12">
        <v>18.6</v>
      </c>
      <c r="I12">
        <f>G12*H12</f>
        <v>198024.90000000002</v>
      </c>
      <c r="K12">
        <f>I12+J12</f>
        <v>198024.90000000002</v>
      </c>
      <c r="M12">
        <v>6</v>
      </c>
      <c r="N12" t="str">
        <v>29/11/2025</v>
      </c>
      <c r="O12" t="str">
        <v>PHONE PAY</v>
      </c>
      <c r="P12">
        <v>10000</v>
      </c>
      <c r="Q12" t="str">
        <v>ANIL</v>
      </c>
    </row>
    <row r="13">
      <c r="A13">
        <v>7</v>
      </c>
      <c r="B13" t="str">
        <v>25*01*2026</v>
      </c>
      <c r="C13" t="str">
        <v>CANTER</v>
      </c>
      <c r="D13">
        <v>170</v>
      </c>
      <c r="E13">
        <v>10300</v>
      </c>
      <c r="F13">
        <f>E13*0.5/100</f>
        <v>51.5</v>
      </c>
      <c r="G13">
        <f>E13-F13</f>
        <v>10248.5</v>
      </c>
      <c r="H13">
        <v>18.4</v>
      </c>
      <c r="I13">
        <f>G13*H13</f>
        <v>188572.4</v>
      </c>
      <c r="K13">
        <f>I13+J13</f>
        <v>188572.4</v>
      </c>
      <c r="M13">
        <v>7</v>
      </c>
      <c r="N13" t="str">
        <v>1*12*2025</v>
      </c>
      <c r="O13" t="str">
        <v>PHONE PAY</v>
      </c>
      <c r="P13">
        <v>15000</v>
      </c>
      <c r="Q13" t="str">
        <v>SURESHAPPA</v>
      </c>
    </row>
    <row r="14">
      <c r="A14">
        <v>8</v>
      </c>
      <c r="B14" t="str">
        <v>16*01*2026</v>
      </c>
      <c r="C14" t="str">
        <v>LORRY</v>
      </c>
      <c r="D14">
        <v>322</v>
      </c>
      <c r="E14">
        <v>19050</v>
      </c>
      <c r="F14">
        <f>E14*0.5/100</f>
        <v>95.25</v>
      </c>
      <c r="G14">
        <f>E14-F14</f>
        <v>18954.75</v>
      </c>
      <c r="H14">
        <v>17.3</v>
      </c>
      <c r="I14">
        <f>G14*H14</f>
        <v>327917.175</v>
      </c>
      <c r="K14">
        <f>I14+J14</f>
        <v>327917.175</v>
      </c>
      <c r="M14">
        <v>8</v>
      </c>
      <c r="N14" t="str">
        <v>2*12*2025</v>
      </c>
      <c r="O14" t="str">
        <v>RTGS</v>
      </c>
      <c r="P14">
        <v>200000</v>
      </c>
      <c r="Q14" t="str">
        <v>MANJULA</v>
      </c>
    </row>
    <row r="15">
      <c r="A15">
        <v>9</v>
      </c>
      <c r="B15" t="str">
        <v>17*02*2026</v>
      </c>
      <c r="C15" t="str">
        <v>MNG</v>
      </c>
      <c r="D15">
        <v>703</v>
      </c>
      <c r="E15">
        <v>41605</v>
      </c>
      <c r="F15">
        <f>E15*0.5/100</f>
        <v>208.025</v>
      </c>
      <c r="G15">
        <f>E15-F15</f>
        <v>41396.975</v>
      </c>
      <c r="H15">
        <v>17.2</v>
      </c>
      <c r="I15">
        <f>G15*H15</f>
        <v>712027.97</v>
      </c>
      <c r="K15">
        <f>I15+J15</f>
        <v>712027.97</v>
      </c>
      <c r="M15">
        <v>9</v>
      </c>
      <c r="N15" t="str">
        <v>9*12*2025</v>
      </c>
      <c r="O15" t="str">
        <v>PHONE PAY</v>
      </c>
      <c r="P15">
        <v>15000</v>
      </c>
      <c r="Q15" t="str">
        <v>SURESHAPPA</v>
      </c>
    </row>
    <row r="16">
      <c r="A16">
        <v>10</v>
      </c>
      <c r="B16" t="str">
        <v>20*02*2026</v>
      </c>
      <c r="C16" t="str">
        <v>MNG</v>
      </c>
      <c r="D16">
        <v>632</v>
      </c>
      <c r="E16">
        <v>37830</v>
      </c>
      <c r="F16">
        <f>E16*0.5/100</f>
        <v>189.15</v>
      </c>
      <c r="G16">
        <f>E16-F16</f>
        <v>37640.85</v>
      </c>
      <c r="H16">
        <v>17.2</v>
      </c>
      <c r="I16">
        <f>G16*H16</f>
        <v>647422.62</v>
      </c>
      <c r="K16">
        <f>I16+J16</f>
        <v>647422.62</v>
      </c>
      <c r="M16">
        <v>10</v>
      </c>
      <c r="N16" t="str">
        <v>14*12*2025</v>
      </c>
      <c r="O16" t="str">
        <v>PHONE PAY</v>
      </c>
      <c r="P16">
        <v>14000</v>
      </c>
      <c r="Q16" t="str">
        <v>SUBHAS</v>
      </c>
    </row>
    <row r="17">
      <c r="A17">
        <v>11</v>
      </c>
      <c r="F17">
        <f>E17*0.5/100</f>
        <v>0</v>
      </c>
      <c r="G17">
        <f>E17-F17</f>
        <v>0</v>
      </c>
      <c r="I17">
        <f>G17*H17</f>
        <v>0</v>
      </c>
      <c r="K17">
        <f>I17+J17</f>
        <v>0</v>
      </c>
      <c r="M17">
        <v>11</v>
      </c>
      <c r="N17" t="str">
        <v>17*12*2025</v>
      </c>
      <c r="O17" t="str">
        <v>PHONE PAY</v>
      </c>
      <c r="P17">
        <v>33000</v>
      </c>
      <c r="Q17" t="str">
        <v>PRAMOD</v>
      </c>
    </row>
    <row r="18">
      <c r="A18">
        <v>12</v>
      </c>
      <c r="F18">
        <f>E18*0.5/100</f>
        <v>0</v>
      </c>
      <c r="G18">
        <f>E18-F18</f>
        <v>0</v>
      </c>
      <c r="I18">
        <f>G18*H18</f>
        <v>0</v>
      </c>
      <c r="K18">
        <f>I18+J18</f>
        <v>0</v>
      </c>
      <c r="M18">
        <v>12</v>
      </c>
      <c r="N18" t="str">
        <v>22*12*2025</v>
      </c>
      <c r="O18" t="str">
        <v>RTGS</v>
      </c>
      <c r="P18">
        <v>100000</v>
      </c>
      <c r="Q18" t="str">
        <v>MANJU</v>
      </c>
    </row>
    <row r="19">
      <c r="A19">
        <v>13</v>
      </c>
      <c r="F19">
        <f>E19*0.5/100</f>
        <v>0</v>
      </c>
      <c r="G19">
        <f>E19-F19</f>
        <v>0</v>
      </c>
      <c r="I19">
        <f>G19*H19</f>
        <v>0</v>
      </c>
      <c r="K19">
        <f>I19+J19</f>
        <v>0</v>
      </c>
      <c r="M19">
        <v>13</v>
      </c>
      <c r="N19" t="str">
        <v>30*12*2025</v>
      </c>
      <c r="O19" t="str">
        <v>PHONE PAY</v>
      </c>
      <c r="P19">
        <v>5000</v>
      </c>
      <c r="Q19" t="str">
        <v>KANTESH</v>
      </c>
    </row>
    <row r="20">
      <c r="A20">
        <v>14</v>
      </c>
      <c r="F20">
        <f>E20*0.5/100</f>
        <v>0</v>
      </c>
      <c r="G20">
        <f>E20-F20</f>
        <v>0</v>
      </c>
      <c r="I20">
        <f>G20*H20</f>
        <v>0</v>
      </c>
      <c r="K20">
        <f>I20+J20</f>
        <v>0</v>
      </c>
      <c r="M20">
        <v>14</v>
      </c>
      <c r="N20" t="str">
        <v>7*12*2025</v>
      </c>
      <c r="O20" t="str">
        <v>PHONE PAY</v>
      </c>
      <c r="P20">
        <v>4800</v>
      </c>
      <c r="Q20" t="str">
        <v>KANTESH</v>
      </c>
    </row>
    <row r="21">
      <c r="A21">
        <v>15</v>
      </c>
      <c r="F21">
        <f>E21*0.5/100</f>
        <v>0</v>
      </c>
      <c r="G21">
        <f>E21-F21</f>
        <v>0</v>
      </c>
      <c r="I21">
        <f>G21*H21</f>
        <v>0</v>
      </c>
      <c r="K21">
        <f>I21+J21</f>
        <v>0</v>
      </c>
      <c r="M21">
        <v>15</v>
      </c>
      <c r="N21" t="str">
        <v>10*1*2026</v>
      </c>
      <c r="O21" t="str">
        <v>PHONE PAY</v>
      </c>
      <c r="P21">
        <v>8000</v>
      </c>
      <c r="Q21" t="str">
        <v>BEERESH</v>
      </c>
    </row>
    <row r="22">
      <c r="A22">
        <v>16</v>
      </c>
      <c r="F22">
        <f>E22*0.5/100</f>
        <v>0</v>
      </c>
      <c r="G22">
        <f>E22-F22</f>
        <v>0</v>
      </c>
      <c r="I22">
        <f>G22*H22</f>
        <v>0</v>
      </c>
      <c r="K22">
        <f>I22+J22</f>
        <v>0</v>
      </c>
      <c r="M22">
        <v>16</v>
      </c>
      <c r="N22" t="str">
        <v>11*01*2026</v>
      </c>
      <c r="O22" t="str">
        <v>PHONE PAY</v>
      </c>
      <c r="P22">
        <v>20000</v>
      </c>
      <c r="Q22" t="str">
        <v>GANRSH</v>
      </c>
    </row>
    <row r="23">
      <c r="A23">
        <v>17</v>
      </c>
      <c r="M23">
        <v>17</v>
      </c>
      <c r="N23" t="str">
        <v>11*01*2026</v>
      </c>
      <c r="O23" t="str">
        <v>PHONE PAY</v>
      </c>
      <c r="P23">
        <v>10000</v>
      </c>
      <c r="Q23" t="str">
        <v>KANTESH</v>
      </c>
    </row>
    <row r="24">
      <c r="A24">
        <v>18</v>
      </c>
      <c r="M24">
        <v>18</v>
      </c>
      <c r="N24" t="str">
        <v>12*01*2025</v>
      </c>
      <c r="O24" t="str">
        <v>PHONE PAY</v>
      </c>
      <c r="P24">
        <v>15000</v>
      </c>
      <c r="Q24" t="str">
        <v>PRAMOD</v>
      </c>
    </row>
    <row r="25">
      <c r="A25">
        <v>19</v>
      </c>
      <c r="M25">
        <v>19</v>
      </c>
      <c r="N25" t="str">
        <v>14*01*2026</v>
      </c>
      <c r="O25" t="str">
        <v>PHONE PAY</v>
      </c>
      <c r="P25">
        <v>27600</v>
      </c>
      <c r="Q25" t="str">
        <v>NANDINI</v>
      </c>
    </row>
    <row r="26">
      <c r="A26">
        <v>20</v>
      </c>
      <c r="M26">
        <v>20</v>
      </c>
      <c r="N26" t="str">
        <v>26*01*2026</v>
      </c>
      <c r="O26" t="str">
        <v>PHONE PAY</v>
      </c>
      <c r="P26">
        <v>11700</v>
      </c>
      <c r="Q26" t="str">
        <v>GANGEDRA</v>
      </c>
    </row>
    <row r="27">
      <c r="A27">
        <v>21</v>
      </c>
      <c r="M27">
        <v>21</v>
      </c>
      <c r="N27" t="str">
        <v>26*01*2026</v>
      </c>
      <c r="O27" t="str">
        <v>PHONE PAY</v>
      </c>
      <c r="P27">
        <v>19000</v>
      </c>
      <c r="Q27" t="str">
        <v>SRINIVAS</v>
      </c>
    </row>
    <row r="28">
      <c r="M28">
        <v>22</v>
      </c>
      <c r="N28" t="str">
        <v>26*01*2026</v>
      </c>
      <c r="O28" t="str">
        <v>PHONE PAY</v>
      </c>
      <c r="P28">
        <v>6000</v>
      </c>
      <c r="Q28" t="str">
        <v>SRINIVAS</v>
      </c>
    </row>
    <row r="29">
      <c r="M29">
        <v>23</v>
      </c>
      <c r="N29" t="str">
        <v>29*01*2026</v>
      </c>
      <c r="O29" t="str">
        <v>PHONE PAY</v>
      </c>
      <c r="P29">
        <v>50000</v>
      </c>
    </row>
    <row r="30">
      <c r="D30">
        <f>SUM(D7:D29)</f>
        <v>2729</v>
      </c>
      <c r="E30">
        <f>SUM(E7:E29)</f>
        <v>165655</v>
      </c>
      <c r="K30">
        <f>SUM(K7:K29)</f>
        <v>2957234.525</v>
      </c>
      <c r="M30">
        <v>24</v>
      </c>
      <c r="N30" t="str">
        <v>17*02*2026</v>
      </c>
      <c r="O30" t="str">
        <v>RTGS</v>
      </c>
      <c r="P30">
        <v>334853</v>
      </c>
    </row>
    <row r="31">
      <c r="M31">
        <v>25</v>
      </c>
      <c r="N31" t="str">
        <v>18*02*2026</v>
      </c>
      <c r="O31" t="str">
        <v>PHONE PAY</v>
      </c>
      <c r="P31">
        <v>14000</v>
      </c>
    </row>
    <row r="32">
      <c r="M32">
        <v>26</v>
      </c>
      <c r="N32" t="str">
        <v>18*02*2026</v>
      </c>
      <c r="O32" t="str">
        <v>PHONE PAY</v>
      </c>
      <c r="P32">
        <v>6000</v>
      </c>
    </row>
    <row r="33">
      <c r="M33">
        <v>27</v>
      </c>
      <c r="N33" t="str">
        <v>18*02*2026</v>
      </c>
      <c r="O33" t="str">
        <v>PHONE PAY</v>
      </c>
      <c r="P33">
        <v>8900</v>
      </c>
    </row>
    <row r="34">
      <c r="M34">
        <v>28</v>
      </c>
      <c r="N34" t="str">
        <v>18*02*2026</v>
      </c>
      <c r="O34" t="str">
        <v>RTGS</v>
      </c>
      <c r="P34">
        <v>365000</v>
      </c>
    </row>
    <row r="35">
      <c r="M35">
        <v>29</v>
      </c>
      <c r="N35" t="str">
        <v>18*02*2026</v>
      </c>
      <c r="O35" t="str">
        <v>RTGS</v>
      </c>
      <c r="P35">
        <v>37820</v>
      </c>
    </row>
    <row r="36">
      <c r="I36" t="str">
        <v xml:space="preserve"> </v>
      </c>
      <c r="M36">
        <v>30</v>
      </c>
      <c r="N36" t="str">
        <v>18*02*2026</v>
      </c>
      <c r="O36" t="str">
        <v>RTGS</v>
      </c>
      <c r="P36">
        <v>44630</v>
      </c>
    </row>
    <row r="37">
      <c r="J37" t="str">
        <v>BALANCE</v>
      </c>
      <c r="K37">
        <f>K30-P56</f>
        <v>559875.5249999999</v>
      </c>
      <c r="M37">
        <v>31</v>
      </c>
      <c r="N37" t="str">
        <v>18*02*2026</v>
      </c>
      <c r="O37" t="str">
        <v>RTGS</v>
      </c>
      <c r="P37">
        <v>65905</v>
      </c>
    </row>
    <row r="38">
      <c r="M38">
        <v>32</v>
      </c>
      <c r="N38" t="str">
        <v>19*02*2026</v>
      </c>
      <c r="O38" t="str">
        <v>PHONE PAY</v>
      </c>
      <c r="P38">
        <v>15000</v>
      </c>
    </row>
    <row r="39">
      <c r="M39">
        <v>33</v>
      </c>
      <c r="N39" t="str">
        <v>19*02*2026</v>
      </c>
      <c r="O39" t="str">
        <v>PHONE PAY</v>
      </c>
      <c r="P39">
        <v>19000</v>
      </c>
    </row>
    <row r="40">
      <c r="M40">
        <v>34</v>
      </c>
      <c r="N40" t="str">
        <v>19*02*2026</v>
      </c>
      <c r="O40" t="str">
        <v>PHONE PAY</v>
      </c>
      <c r="P40">
        <v>19000</v>
      </c>
    </row>
    <row r="41">
      <c r="M41">
        <v>35</v>
      </c>
      <c r="N41" t="str">
        <v>19*02*2026</v>
      </c>
      <c r="O41" t="str">
        <v>PHONE PAY</v>
      </c>
      <c r="P41">
        <v>19000</v>
      </c>
    </row>
    <row r="42">
      <c r="M42">
        <v>36</v>
      </c>
      <c r="N42" t="str">
        <v>19*02*2026</v>
      </c>
      <c r="O42" t="str">
        <v>PHONE PAY</v>
      </c>
      <c r="P42">
        <v>19000</v>
      </c>
    </row>
    <row r="43">
      <c r="M43">
        <v>37</v>
      </c>
      <c r="N43" t="str">
        <v>19*02*2026</v>
      </c>
      <c r="O43" t="str">
        <v>PHONE PAY</v>
      </c>
      <c r="P43">
        <v>10000</v>
      </c>
    </row>
    <row r="44">
      <c r="A44" t="str">
        <v>SL NO</v>
      </c>
      <c r="B44" t="str">
        <v>DATE</v>
      </c>
      <c r="C44" t="str">
        <v>LORRY NO</v>
      </c>
      <c r="D44" t="str">
        <v>BAGS</v>
      </c>
      <c r="E44" t="str">
        <v xml:space="preserve">WEIGHT </v>
      </c>
      <c r="F44" t="str">
        <v>LESS</v>
      </c>
      <c r="G44" t="str">
        <v>NET WEIGHT</v>
      </c>
      <c r="H44" t="str">
        <v>RATE</v>
      </c>
      <c r="I44" t="str">
        <v>AMOUNT</v>
      </c>
      <c r="K44" t="str">
        <v>TOTAL AMT</v>
      </c>
      <c r="M44">
        <v>38</v>
      </c>
      <c r="N44" t="str">
        <v>19*02*2026</v>
      </c>
      <c r="O44" t="str">
        <v>PHONE PAY</v>
      </c>
      <c r="P44">
        <v>19000</v>
      </c>
    </row>
    <row r="45">
      <c r="M45">
        <v>39</v>
      </c>
      <c r="N45" t="str">
        <v>28*02*2026</v>
      </c>
      <c r="O45" t="str">
        <v>RTGS</v>
      </c>
      <c r="P45">
        <v>80151</v>
      </c>
    </row>
    <row r="46">
      <c r="M46">
        <v>40</v>
      </c>
      <c r="N46" t="str">
        <v>1*03*2026</v>
      </c>
      <c r="O46" t="str">
        <v>PHONE PAY</v>
      </c>
      <c r="P46">
        <v>15000</v>
      </c>
    </row>
    <row r="47">
      <c r="A47">
        <v>1</v>
      </c>
      <c r="B47" t="str">
        <v>24/11/2025</v>
      </c>
      <c r="C47" t="str">
        <v>TRATOR</v>
      </c>
      <c r="D47">
        <v>140</v>
      </c>
      <c r="E47">
        <v>8330</v>
      </c>
      <c r="F47">
        <f>E47*0.5/100</f>
        <v>41.65</v>
      </c>
      <c r="G47">
        <f>E47-F47</f>
        <v>8288.35</v>
      </c>
      <c r="H47">
        <v>19</v>
      </c>
      <c r="I47">
        <f>G47*H47</f>
        <v>157478.65</v>
      </c>
      <c r="K47">
        <f>I47+J47</f>
        <v>157478.65</v>
      </c>
      <c r="M47">
        <v>41</v>
      </c>
      <c r="N47" t="str">
        <v>2*03*2026</v>
      </c>
      <c r="O47" t="str">
        <v>PHONE PAY</v>
      </c>
      <c r="P47">
        <v>15000</v>
      </c>
    </row>
    <row r="48">
      <c r="A48">
        <v>2</v>
      </c>
      <c r="B48" t="str">
        <v>29/11/2025</v>
      </c>
      <c r="C48" t="str">
        <v>TRATOR</v>
      </c>
      <c r="D48">
        <v>141</v>
      </c>
      <c r="E48">
        <v>8400</v>
      </c>
      <c r="F48">
        <f>E48*0.5/100</f>
        <v>42</v>
      </c>
      <c r="G48">
        <f>E48-F48</f>
        <v>8358</v>
      </c>
      <c r="H48">
        <v>19</v>
      </c>
      <c r="I48">
        <f>G48*H48</f>
        <v>158802</v>
      </c>
      <c r="K48">
        <f>I48+J48</f>
        <v>158802</v>
      </c>
      <c r="M48">
        <v>42</v>
      </c>
      <c r="N48" t="str">
        <v>2*03*2026</v>
      </c>
      <c r="O48" t="str">
        <v>PHONE PAY</v>
      </c>
      <c r="P48">
        <v>14000</v>
      </c>
    </row>
    <row r="49">
      <c r="A49">
        <v>3</v>
      </c>
      <c r="B49" t="str">
        <v>11*12*2025</v>
      </c>
      <c r="C49" t="str">
        <v>TRATOR</v>
      </c>
      <c r="D49">
        <v>120</v>
      </c>
      <c r="E49">
        <v>7000</v>
      </c>
      <c r="F49">
        <f>E49*0.5/100</f>
        <v>35</v>
      </c>
      <c r="G49">
        <f>E49-F49</f>
        <v>6965</v>
      </c>
      <c r="H49">
        <v>20.2</v>
      </c>
      <c r="I49">
        <f>G49*H49</f>
        <v>140693</v>
      </c>
      <c r="K49">
        <f>I49+J49</f>
        <v>140693</v>
      </c>
      <c r="M49">
        <v>43</v>
      </c>
      <c r="P49">
        <v>40000</v>
      </c>
    </row>
    <row r="50">
      <c r="A50">
        <v>4</v>
      </c>
      <c r="B50" t="str">
        <v>17*12*2025</v>
      </c>
      <c r="C50" t="str">
        <v>TRATOR</v>
      </c>
      <c r="D50">
        <v>94</v>
      </c>
      <c r="E50">
        <v>8810</v>
      </c>
      <c r="F50">
        <f>E50*0.5/100</f>
        <v>44.05</v>
      </c>
      <c r="G50">
        <f>E50-F50</f>
        <v>8765.95</v>
      </c>
      <c r="H50">
        <v>19.7</v>
      </c>
      <c r="I50">
        <f>G50*H50</f>
        <v>172689.215</v>
      </c>
      <c r="K50">
        <f>I50+J50</f>
        <v>172689.215</v>
      </c>
      <c r="M50">
        <v>44</v>
      </c>
      <c r="O50" t="str">
        <v>CASH</v>
      </c>
      <c r="P50">
        <v>200000</v>
      </c>
    </row>
    <row r="51">
      <c r="A51">
        <v>5</v>
      </c>
      <c r="B51" t="str">
        <v>7*01*2026</v>
      </c>
      <c r="C51" t="str">
        <v>TRATOR</v>
      </c>
      <c r="D51">
        <v>227</v>
      </c>
      <c r="E51">
        <v>13630</v>
      </c>
      <c r="F51">
        <f>E51*0.5/100</f>
        <v>68.15</v>
      </c>
      <c r="G51">
        <f>E51-F51</f>
        <v>13561.85</v>
      </c>
      <c r="H51">
        <v>18.7</v>
      </c>
      <c r="I51">
        <f>G51*H51</f>
        <v>253606.595</v>
      </c>
      <c r="K51">
        <f>I51+J51</f>
        <v>253606.595</v>
      </c>
    </row>
    <row r="52">
      <c r="A52">
        <v>6</v>
      </c>
      <c r="B52" t="str">
        <v>25*01*2026</v>
      </c>
      <c r="C52" t="str">
        <v>CANTER</v>
      </c>
      <c r="D52">
        <v>180</v>
      </c>
      <c r="E52">
        <v>10700</v>
      </c>
      <c r="F52">
        <f>E52*0.5/100</f>
        <v>53.5</v>
      </c>
      <c r="G52">
        <f>E52-F52</f>
        <v>10646.5</v>
      </c>
      <c r="H52">
        <v>18.6</v>
      </c>
      <c r="I52">
        <f>G52*H52</f>
        <v>198024.90000000002</v>
      </c>
      <c r="K52">
        <f>I52+J52</f>
        <v>198024.90000000002</v>
      </c>
    </row>
    <row r="53">
      <c r="A53">
        <v>7</v>
      </c>
      <c r="B53" t="str">
        <v>25*01*2026</v>
      </c>
      <c r="C53" t="str">
        <v>CANTER</v>
      </c>
      <c r="D53">
        <v>170</v>
      </c>
      <c r="E53">
        <v>10300</v>
      </c>
      <c r="F53">
        <f>E53*0.5/100</f>
        <v>51.5</v>
      </c>
      <c r="G53">
        <f>E53-F53</f>
        <v>10248.5</v>
      </c>
      <c r="H53">
        <v>18.4</v>
      </c>
      <c r="I53">
        <f>G53*H53</f>
        <v>188572.4</v>
      </c>
      <c r="K53">
        <f>I53+J53</f>
        <v>188572.4</v>
      </c>
      <c r="O53" t="str">
        <v>URI</v>
      </c>
      <c r="P53">
        <v>3000</v>
      </c>
    </row>
    <row r="54">
      <c r="A54">
        <v>8</v>
      </c>
      <c r="B54" t="str">
        <v>16*01*2026</v>
      </c>
      <c r="C54" t="str">
        <v>LORRY</v>
      </c>
      <c r="D54">
        <v>322</v>
      </c>
      <c r="E54">
        <v>19050</v>
      </c>
      <c r="F54">
        <f>E54*0.5/100</f>
        <v>95.25</v>
      </c>
      <c r="G54">
        <f>E54-F54</f>
        <v>18954.75</v>
      </c>
      <c r="H54">
        <v>17.3</v>
      </c>
      <c r="I54">
        <f>G54*H54</f>
        <v>327917.175</v>
      </c>
      <c r="K54">
        <f>I54+J54</f>
        <v>327917.175</v>
      </c>
      <c r="N54">
        <v>2230</v>
      </c>
      <c r="O54" t="str">
        <v>GUNNY BAG</v>
      </c>
      <c r="P54">
        <v>49000</v>
      </c>
    </row>
    <row r="55">
      <c r="A55">
        <v>9</v>
      </c>
      <c r="B55" t="str">
        <v>17*02*2026</v>
      </c>
      <c r="C55" t="str">
        <v>MNG</v>
      </c>
      <c r="D55">
        <v>703</v>
      </c>
      <c r="E55">
        <v>41605</v>
      </c>
      <c r="F55">
        <f>E55*0.5/100</f>
        <v>208.025</v>
      </c>
      <c r="G55">
        <f>E55-F55</f>
        <v>41396.975</v>
      </c>
      <c r="H55">
        <v>17.2</v>
      </c>
      <c r="I55">
        <f>G55*H55</f>
        <v>712027.97</v>
      </c>
      <c r="K55">
        <f>I55+J55</f>
        <v>712027.97</v>
      </c>
    </row>
    <row r="56">
      <c r="A56">
        <v>10</v>
      </c>
      <c r="B56" t="str">
        <v>20*02*2026</v>
      </c>
      <c r="C56" t="str">
        <v>MNG</v>
      </c>
      <c r="D56">
        <v>632</v>
      </c>
      <c r="E56">
        <v>37830</v>
      </c>
      <c r="F56">
        <f>E56*0.5/100</f>
        <v>189.15</v>
      </c>
      <c r="G56">
        <f>E56-F56</f>
        <v>37640.85</v>
      </c>
      <c r="H56">
        <v>17.2</v>
      </c>
      <c r="I56">
        <f>G56*H56</f>
        <v>647422.62</v>
      </c>
      <c r="K56">
        <f>I56+J56</f>
        <v>647422.62</v>
      </c>
      <c r="P56">
        <f>SUM(P7:P55)</f>
        <v>2397359</v>
      </c>
    </row>
    <row r="57">
      <c r="A57">
        <v>11</v>
      </c>
      <c r="F57">
        <f>E57*0.5/100</f>
        <v>0</v>
      </c>
      <c r="G57">
        <f>E57-F57</f>
        <v>0</v>
      </c>
      <c r="I57">
        <f>G57*H57</f>
        <v>0</v>
      </c>
      <c r="K57">
        <f>I57+J57</f>
        <v>0</v>
      </c>
    </row>
    <row r="59">
      <c r="E59">
        <f>SUM(E47:E58)</f>
        <v>165655</v>
      </c>
      <c r="K59">
        <f>SUM(K47:K58)</f>
        <v>2957234.525</v>
      </c>
    </row>
    <row r="61">
      <c r="N61">
        <v>45669</v>
      </c>
      <c r="O61" t="str">
        <v>PHONE PAY</v>
      </c>
      <c r="P61">
        <v>5000</v>
      </c>
      <c r="Q61" t="str">
        <v>GSNESH</v>
      </c>
    </row>
    <row r="62">
      <c r="N62">
        <v>45669</v>
      </c>
      <c r="O62" t="str">
        <v>PHONE PAY</v>
      </c>
      <c r="P62">
        <v>10000</v>
      </c>
      <c r="Q62" t="str">
        <v>MANJU</v>
      </c>
    </row>
    <row r="63">
      <c r="N63">
        <v>45700</v>
      </c>
      <c r="O63" t="str">
        <v>RTGS</v>
      </c>
      <c r="P63">
        <v>200000</v>
      </c>
      <c r="Q63" t="str">
        <v>MANJU</v>
      </c>
    </row>
  </sheetData>
  <pageMargins left="0.7" right="0.7" top="0.75" bottom="0.75" header="0.3" footer="0.3"/>
  <ignoredErrors>
    <ignoredError numberStoredAsText="1" sqref="A4:Q7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date</v>
      </c>
      <c r="B1" t="str">
        <v>weight</v>
      </c>
      <c r="C1" t="str">
        <v>less_percent</v>
      </c>
      <c r="D1" t="str">
        <v>rate</v>
      </c>
      <c r="E1" t="str">
        <v>bag_less</v>
      </c>
      <c r="F1" t="str">
        <v>add_amount</v>
      </c>
      <c r="G1" t="str">
        <v>cash_paid</v>
      </c>
      <c r="H1" t="str">
        <v>upi_paid</v>
      </c>
      <c r="I1" t="str">
        <v>source</v>
      </c>
      <c r="J1" t="str">
        <v>id</v>
      </c>
      <c r="K1" t="str">
        <v>less_weight</v>
      </c>
      <c r="L1" t="str">
        <v>net_weight</v>
      </c>
      <c r="M1" t="str">
        <v>amount</v>
      </c>
      <c r="N1" t="str">
        <v>final_total</v>
      </c>
    </row>
    <row r="2">
      <c r="A2" t="str">
        <v>2026-03-07</v>
      </c>
      <c r="B2">
        <v>230</v>
      </c>
      <c r="C2">
        <v>20</v>
      </c>
      <c r="D2">
        <v>23</v>
      </c>
      <c r="E2">
        <v>120</v>
      </c>
      <c r="F2">
        <v>1200</v>
      </c>
      <c r="G2">
        <v>0</v>
      </c>
      <c r="H2">
        <v>0</v>
      </c>
      <c r="I2" t="str">
        <v>app</v>
      </c>
      <c r="J2" t="str">
        <v>AP_PUR_1772883253703</v>
      </c>
      <c r="K2">
        <v>46</v>
      </c>
      <c r="L2">
        <v>184</v>
      </c>
      <c r="M2">
        <v>4232</v>
      </c>
      <c r="N2">
        <v>5312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PURCHASE</vt:lpstr>
      <vt:lpstr>STOCK</vt:lpstr>
      <vt:lpstr>HAMMALI</vt:lpstr>
      <vt:lpstr>BILL</vt:lpstr>
      <vt:lpstr>GUNNY BAGS</vt:lpstr>
      <vt:lpstr>CASH</vt:lpstr>
      <vt:lpstr>Sheet1</vt:lpstr>
      <vt:lpstr>Home cash</vt:lpstr>
      <vt:lpstr>COMPANY</vt:lpstr>
      <vt:lpstr>BILLTY</vt:lpstr>
      <vt:lpstr>MANJU MASUR</vt:lpstr>
      <vt:lpstr>Sheet2</vt:lpstr>
      <vt:lpstr>APP_PURCHASE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2026-03-05T14:56:28Z</dcterms:modified>
</cp:coreProperties>
</file>